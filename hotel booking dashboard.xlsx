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arshit\Downloads\Excel\"/>
    </mc:Choice>
  </mc:AlternateContent>
  <xr:revisionPtr revIDLastSave="0" documentId="13_ncr:1_{37D74EB2-4B5D-450E-9D54-554C9BAA8D03}" xr6:coauthVersionLast="47" xr6:coauthVersionMax="47" xr10:uidLastSave="{00000000-0000-0000-0000-000000000000}"/>
  <bookViews>
    <workbookView xWindow="-110" yWindow="-110" windowWidth="19420" windowHeight="11500" xr2:uid="{A0562D52-D864-4666-B020-B14F5C9031BD}"/>
  </bookViews>
  <sheets>
    <sheet name="Dashboard" sheetId="3" r:id="rId1"/>
    <sheet name="Pivot table" sheetId="2" r:id="rId2"/>
    <sheet name="Sheet1" sheetId="4" r:id="rId3"/>
  </sheets>
  <definedNames>
    <definedName name="NativeTimeline_Check_out_Date">#N/A</definedName>
    <definedName name="Slicer_Booking_Source">#N/A</definedName>
    <definedName name="Slicer_Country">#N/A</definedName>
    <definedName name="Slicer_Room_type">#N/A</definedName>
    <definedName name="Slicer_Status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4" l="1"/>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D2" i="4"/>
  <c r="E2" i="4" s="1"/>
  <c r="D367" i="4"/>
  <c r="D366" i="4"/>
  <c r="D365" i="4"/>
  <c r="D364" i="4"/>
  <c r="D363" i="4"/>
  <c r="D362" i="4"/>
  <c r="D361" i="4"/>
  <c r="D360" i="4"/>
  <c r="D359" i="4"/>
  <c r="D358" i="4"/>
  <c r="D357" i="4"/>
  <c r="D356" i="4"/>
  <c r="D355" i="4"/>
  <c r="D354" i="4"/>
  <c r="D353" i="4"/>
  <c r="D352" i="4"/>
  <c r="D351" i="4"/>
  <c r="D350" i="4"/>
  <c r="D349" i="4"/>
  <c r="D348" i="4"/>
  <c r="D347" i="4"/>
  <c r="D346" i="4"/>
  <c r="D345" i="4"/>
  <c r="D344" i="4"/>
  <c r="D343" i="4"/>
  <c r="D342" i="4"/>
  <c r="D341" i="4"/>
  <c r="D340" i="4"/>
  <c r="D339" i="4"/>
  <c r="D338" i="4"/>
  <c r="D337" i="4"/>
  <c r="D336" i="4"/>
  <c r="D335" i="4"/>
  <c r="D334" i="4"/>
  <c r="D333" i="4"/>
  <c r="D332" i="4"/>
  <c r="D331" i="4"/>
  <c r="D330" i="4"/>
  <c r="D329" i="4"/>
  <c r="D328" i="4"/>
  <c r="D327" i="4"/>
  <c r="D326" i="4"/>
  <c r="D325" i="4"/>
  <c r="D324" i="4"/>
  <c r="D323" i="4"/>
  <c r="D322" i="4"/>
  <c r="D321" i="4"/>
  <c r="D320" i="4"/>
  <c r="D319" i="4"/>
  <c r="D318" i="4"/>
  <c r="D317" i="4"/>
  <c r="D316" i="4"/>
  <c r="D315" i="4"/>
  <c r="D314" i="4"/>
  <c r="D313" i="4"/>
  <c r="D312" i="4"/>
  <c r="D311" i="4"/>
  <c r="D310" i="4"/>
  <c r="D309" i="4"/>
  <c r="D308" i="4"/>
  <c r="D307" i="4"/>
  <c r="D306" i="4"/>
  <c r="D305" i="4"/>
  <c r="D304" i="4"/>
  <c r="D303" i="4"/>
  <c r="D302" i="4"/>
  <c r="D301" i="4"/>
  <c r="D300" i="4"/>
  <c r="D299" i="4"/>
  <c r="D298" i="4"/>
  <c r="D297" i="4"/>
  <c r="D296" i="4"/>
  <c r="D295" i="4"/>
  <c r="D294" i="4"/>
  <c r="D293" i="4"/>
  <c r="D292" i="4"/>
  <c r="D291" i="4"/>
  <c r="D290" i="4"/>
  <c r="D289" i="4"/>
  <c r="D288" i="4"/>
  <c r="D287" i="4"/>
  <c r="D286" i="4"/>
  <c r="D285" i="4"/>
  <c r="D284" i="4"/>
  <c r="D283" i="4"/>
  <c r="D282" i="4"/>
  <c r="D281" i="4"/>
  <c r="D280" i="4"/>
  <c r="D279" i="4"/>
  <c r="D278" i="4"/>
  <c r="D277" i="4"/>
  <c r="D276" i="4"/>
  <c r="D275" i="4"/>
  <c r="D274" i="4"/>
  <c r="D273" i="4"/>
  <c r="D272" i="4"/>
  <c r="D271" i="4"/>
  <c r="D270" i="4"/>
  <c r="D269" i="4"/>
  <c r="D268" i="4"/>
  <c r="D267" i="4"/>
  <c r="D266" i="4"/>
  <c r="D265" i="4"/>
  <c r="D264" i="4"/>
  <c r="D263" i="4"/>
  <c r="D262" i="4"/>
  <c r="D261" i="4"/>
  <c r="D260" i="4"/>
  <c r="D259" i="4"/>
  <c r="D258" i="4"/>
  <c r="D257" i="4"/>
  <c r="D256" i="4"/>
  <c r="D255" i="4"/>
  <c r="D254" i="4"/>
  <c r="D253" i="4"/>
  <c r="D252" i="4"/>
  <c r="D251" i="4"/>
  <c r="D250" i="4"/>
  <c r="D249" i="4"/>
  <c r="D248" i="4"/>
  <c r="D247" i="4"/>
  <c r="D246" i="4"/>
  <c r="D245" i="4"/>
  <c r="D244" i="4"/>
  <c r="D243" i="4"/>
  <c r="D242" i="4"/>
  <c r="D241" i="4"/>
  <c r="D240" i="4"/>
  <c r="D239" i="4"/>
  <c r="D238" i="4"/>
  <c r="D237" i="4"/>
  <c r="D236" i="4"/>
  <c r="D235" i="4"/>
  <c r="D234" i="4"/>
  <c r="D233" i="4"/>
  <c r="D232" i="4"/>
  <c r="D231" i="4"/>
  <c r="D230" i="4"/>
  <c r="D229" i="4"/>
  <c r="D228" i="4"/>
  <c r="D227" i="4"/>
  <c r="D226" i="4"/>
  <c r="D225" i="4"/>
  <c r="D224" i="4"/>
  <c r="D223" i="4"/>
  <c r="D222" i="4"/>
  <c r="D221" i="4"/>
  <c r="D220" i="4"/>
  <c r="D219" i="4"/>
  <c r="D218" i="4"/>
  <c r="D217" i="4"/>
  <c r="D216" i="4"/>
  <c r="D215" i="4"/>
  <c r="D214" i="4"/>
  <c r="D213" i="4"/>
  <c r="D212" i="4"/>
  <c r="D211" i="4"/>
  <c r="D210" i="4"/>
  <c r="D209" i="4"/>
  <c r="D208" i="4"/>
  <c r="D207" i="4"/>
  <c r="D206" i="4"/>
  <c r="D205" i="4"/>
  <c r="D204" i="4"/>
  <c r="D203" i="4"/>
  <c r="D202" i="4"/>
  <c r="D201" i="4"/>
  <c r="D200" i="4"/>
  <c r="D199" i="4"/>
  <c r="D198" i="4"/>
  <c r="D197" i="4"/>
  <c r="D196" i="4"/>
  <c r="D195" i="4"/>
  <c r="D194" i="4"/>
  <c r="D193" i="4"/>
  <c r="D192" i="4"/>
  <c r="D191" i="4"/>
  <c r="D190" i="4"/>
  <c r="D189" i="4"/>
  <c r="D188" i="4"/>
  <c r="D187" i="4"/>
  <c r="D186" i="4"/>
  <c r="D185" i="4"/>
  <c r="D184" i="4"/>
  <c r="D183" i="4"/>
  <c r="D182" i="4"/>
  <c r="D181" i="4"/>
  <c r="D180" i="4"/>
  <c r="D179" i="4"/>
  <c r="D178" i="4"/>
  <c r="D177" i="4"/>
  <c r="D176" i="4"/>
  <c r="D175" i="4"/>
  <c r="D174" i="4"/>
  <c r="D173" i="4"/>
  <c r="D172" i="4"/>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D141" i="4"/>
  <c r="D140" i="4"/>
  <c r="D139" i="4"/>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alcChain>
</file>

<file path=xl/sharedStrings.xml><?xml version="1.0" encoding="utf-8"?>
<sst xmlns="http://schemas.openxmlformats.org/spreadsheetml/2006/main" count="2641" uniqueCount="411">
  <si>
    <t>Row Labels</t>
  </si>
  <si>
    <t>Grand Total</t>
  </si>
  <si>
    <t>Double</t>
  </si>
  <si>
    <t>Single</t>
  </si>
  <si>
    <t>Suite</t>
  </si>
  <si>
    <t>Deluxe</t>
  </si>
  <si>
    <t>Website</t>
  </si>
  <si>
    <t>Agent</t>
  </si>
  <si>
    <t>Walk-in</t>
  </si>
  <si>
    <t>Confirmed</t>
  </si>
  <si>
    <t>No-show</t>
  </si>
  <si>
    <t>Cancelled</t>
  </si>
  <si>
    <t>USA</t>
  </si>
  <si>
    <t>India</t>
  </si>
  <si>
    <t>UAE</t>
  </si>
  <si>
    <t>UK</t>
  </si>
  <si>
    <t>China</t>
  </si>
  <si>
    <t>Mexico</t>
  </si>
  <si>
    <t>Australia</t>
  </si>
  <si>
    <t>South Korea</t>
  </si>
  <si>
    <t>Sum of Revenue</t>
  </si>
  <si>
    <t>Count of Booking ID</t>
  </si>
  <si>
    <t>Varp of Duration</t>
  </si>
  <si>
    <t>Hotel Booking Dashboard</t>
  </si>
  <si>
    <t>Booking ID</t>
  </si>
  <si>
    <t xml:space="preserve">Guest name </t>
  </si>
  <si>
    <t>Check-in date</t>
  </si>
  <si>
    <t>Check-out Date</t>
  </si>
  <si>
    <t>Room type</t>
  </si>
  <si>
    <t>Room Number</t>
  </si>
  <si>
    <t>Booking Source</t>
  </si>
  <si>
    <t>Revenue</t>
  </si>
  <si>
    <t xml:space="preserve"> Status</t>
  </si>
  <si>
    <t>Country</t>
  </si>
  <si>
    <t>Payment Mode</t>
  </si>
  <si>
    <t>B001</t>
  </si>
  <si>
    <t>Ajit Kumar</t>
  </si>
  <si>
    <t>Cash</t>
  </si>
  <si>
    <t>B002</t>
  </si>
  <si>
    <t>Rohit Das</t>
  </si>
  <si>
    <t>Credit Card</t>
  </si>
  <si>
    <t>B003</t>
  </si>
  <si>
    <t>Ramesh</t>
  </si>
  <si>
    <t>Debit Card</t>
  </si>
  <si>
    <t>B004</t>
  </si>
  <si>
    <t>Amit</t>
  </si>
  <si>
    <t>B005</t>
  </si>
  <si>
    <t>Chandu</t>
  </si>
  <si>
    <t>B006</t>
  </si>
  <si>
    <t>Siddhu</t>
  </si>
  <si>
    <t>B007</t>
  </si>
  <si>
    <t>B008</t>
  </si>
  <si>
    <t>B009</t>
  </si>
  <si>
    <t>B010</t>
  </si>
  <si>
    <t>B011</t>
  </si>
  <si>
    <t>B012</t>
  </si>
  <si>
    <t>B013</t>
  </si>
  <si>
    <t>B014</t>
  </si>
  <si>
    <t>B015</t>
  </si>
  <si>
    <t>B016</t>
  </si>
  <si>
    <t>B017</t>
  </si>
  <si>
    <t>B018</t>
  </si>
  <si>
    <t>B019</t>
  </si>
  <si>
    <t>B020</t>
  </si>
  <si>
    <t>B021</t>
  </si>
  <si>
    <t>B022</t>
  </si>
  <si>
    <t>B023</t>
  </si>
  <si>
    <t>B024</t>
  </si>
  <si>
    <t>B025</t>
  </si>
  <si>
    <t>B026</t>
  </si>
  <si>
    <t>B027</t>
  </si>
  <si>
    <t>B028</t>
  </si>
  <si>
    <t>B029</t>
  </si>
  <si>
    <t>B030</t>
  </si>
  <si>
    <t>B031</t>
  </si>
  <si>
    <t>B032</t>
  </si>
  <si>
    <t>B033</t>
  </si>
  <si>
    <t>B034</t>
  </si>
  <si>
    <t>B035</t>
  </si>
  <si>
    <t>B036</t>
  </si>
  <si>
    <t>B037</t>
  </si>
  <si>
    <t>B038</t>
  </si>
  <si>
    <t>B039</t>
  </si>
  <si>
    <t>B040</t>
  </si>
  <si>
    <t>B041</t>
  </si>
  <si>
    <t>B042</t>
  </si>
  <si>
    <t>B043</t>
  </si>
  <si>
    <t>B044</t>
  </si>
  <si>
    <t>B045</t>
  </si>
  <si>
    <t>B046</t>
  </si>
  <si>
    <t>B047</t>
  </si>
  <si>
    <t>B048</t>
  </si>
  <si>
    <t>B049</t>
  </si>
  <si>
    <t>B050</t>
  </si>
  <si>
    <t>B051</t>
  </si>
  <si>
    <t>B052</t>
  </si>
  <si>
    <t>B053</t>
  </si>
  <si>
    <t>B054</t>
  </si>
  <si>
    <t>B055</t>
  </si>
  <si>
    <t>B056</t>
  </si>
  <si>
    <t>B057</t>
  </si>
  <si>
    <t>B058</t>
  </si>
  <si>
    <t>B059</t>
  </si>
  <si>
    <t>B060</t>
  </si>
  <si>
    <t>B061</t>
  </si>
  <si>
    <t>B062</t>
  </si>
  <si>
    <t>B063</t>
  </si>
  <si>
    <t>B064</t>
  </si>
  <si>
    <t>B065</t>
  </si>
  <si>
    <t>B066</t>
  </si>
  <si>
    <t>B067</t>
  </si>
  <si>
    <t>B068</t>
  </si>
  <si>
    <t>B069</t>
  </si>
  <si>
    <t>B070</t>
  </si>
  <si>
    <t>B071</t>
  </si>
  <si>
    <t>B072</t>
  </si>
  <si>
    <t>B073</t>
  </si>
  <si>
    <t>B074</t>
  </si>
  <si>
    <t>B075</t>
  </si>
  <si>
    <t>B076</t>
  </si>
  <si>
    <t>B077</t>
  </si>
  <si>
    <t>B078</t>
  </si>
  <si>
    <t>B079</t>
  </si>
  <si>
    <t>B080</t>
  </si>
  <si>
    <t>B081</t>
  </si>
  <si>
    <t>B082</t>
  </si>
  <si>
    <t>B083</t>
  </si>
  <si>
    <t>B084</t>
  </si>
  <si>
    <t>B085</t>
  </si>
  <si>
    <t>B086</t>
  </si>
  <si>
    <t>B087</t>
  </si>
  <si>
    <t>B088</t>
  </si>
  <si>
    <t>B089</t>
  </si>
  <si>
    <t>B090</t>
  </si>
  <si>
    <t>B091</t>
  </si>
  <si>
    <t>B092</t>
  </si>
  <si>
    <t>B093</t>
  </si>
  <si>
    <t>B094</t>
  </si>
  <si>
    <t>B095</t>
  </si>
  <si>
    <t>B096</t>
  </si>
  <si>
    <t>B097</t>
  </si>
  <si>
    <t>B098</t>
  </si>
  <si>
    <t>B099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</si>
  <si>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</si>
  <si>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</si>
  <si>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</si>
  <si>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</si>
  <si>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</si>
  <si>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</si>
  <si>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</si>
  <si>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</si>
  <si>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</si>
  <si>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</si>
  <si>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</si>
  <si>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</si>
  <si>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</si>
  <si>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</si>
  <si>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</si>
  <si>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</si>
  <si>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</si>
  <si>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</si>
  <si>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</si>
  <si>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</si>
  <si>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</si>
  <si>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</si>
  <si>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</si>
  <si>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</si>
  <si>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</si>
  <si>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</si>
  <si>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t>B126</t>
  </si>
  <si>
    <t>B127</t>
  </si>
  <si>
    <t>B128</t>
  </si>
  <si>
    <t>B129</t>
  </si>
  <si>
    <t>B130</t>
  </si>
  <si>
    <t>B131</t>
  </si>
  <si>
    <t>B132</t>
  </si>
  <si>
    <t>B133</t>
  </si>
  <si>
    <t>B134</t>
  </si>
  <si>
    <t>B135</t>
  </si>
  <si>
    <t>B136</t>
  </si>
  <si>
    <t>B137</t>
  </si>
  <si>
    <t>B138</t>
  </si>
  <si>
    <t>B139</t>
  </si>
  <si>
    <t>B140</t>
  </si>
  <si>
    <t>B141</t>
  </si>
  <si>
    <t>B142</t>
  </si>
  <si>
    <t>B143</t>
  </si>
  <si>
    <t>B144</t>
  </si>
  <si>
    <t>B145</t>
  </si>
  <si>
    <t>B146</t>
  </si>
  <si>
    <t>B147</t>
  </si>
  <si>
    <t>B148</t>
  </si>
  <si>
    <t>B149</t>
  </si>
  <si>
    <t>B150</t>
  </si>
  <si>
    <t>B151</t>
  </si>
  <si>
    <t>B152</t>
  </si>
  <si>
    <t>B153</t>
  </si>
  <si>
    <t>B154</t>
  </si>
  <si>
    <t>B155</t>
  </si>
  <si>
    <t>B156</t>
  </si>
  <si>
    <t>B157</t>
  </si>
  <si>
    <t>B158</t>
  </si>
  <si>
    <t>B159</t>
  </si>
  <si>
    <t>B160</t>
  </si>
  <si>
    <t>B161</t>
  </si>
  <si>
    <t>B162</t>
  </si>
  <si>
    <t>B163</t>
  </si>
  <si>
    <t>B164</t>
  </si>
  <si>
    <t>B165</t>
  </si>
  <si>
    <t>B166</t>
  </si>
  <si>
    <t>B167</t>
  </si>
  <si>
    <t>B168</t>
  </si>
  <si>
    <t>B169</t>
  </si>
  <si>
    <t>B170</t>
  </si>
  <si>
    <t>B171</t>
  </si>
  <si>
    <t>B172</t>
  </si>
  <si>
    <t>B173</t>
  </si>
  <si>
    <t>B174</t>
  </si>
  <si>
    <t>B175</t>
  </si>
  <si>
    <t>B176</t>
  </si>
  <si>
    <t>B177</t>
  </si>
  <si>
    <t>B178</t>
  </si>
  <si>
    <t>B179</t>
  </si>
  <si>
    <t>B180</t>
  </si>
  <si>
    <t>B181</t>
  </si>
  <si>
    <t>B182</t>
  </si>
  <si>
    <t>B183</t>
  </si>
  <si>
    <t>B184</t>
  </si>
  <si>
    <t>B185</t>
  </si>
  <si>
    <t>B186</t>
  </si>
  <si>
    <t>B187</t>
  </si>
  <si>
    <t>B188</t>
  </si>
  <si>
    <t>B189</t>
  </si>
  <si>
    <t>B190</t>
  </si>
  <si>
    <t>B191</t>
  </si>
  <si>
    <t>B192</t>
  </si>
  <si>
    <t>B193</t>
  </si>
  <si>
    <t>B194</t>
  </si>
  <si>
    <t>B195</t>
  </si>
  <si>
    <t>B196</t>
  </si>
  <si>
    <t>B197</t>
  </si>
  <si>
    <t>B198</t>
  </si>
  <si>
    <t>B199</t>
  </si>
  <si>
    <t>B200</t>
  </si>
  <si>
    <t>B201</t>
  </si>
  <si>
    <t>B202</t>
  </si>
  <si>
    <t>B203</t>
  </si>
  <si>
    <t>B204</t>
  </si>
  <si>
    <t>B205</t>
  </si>
  <si>
    <t>B206</t>
  </si>
  <si>
    <t>B207</t>
  </si>
  <si>
    <t>B208</t>
  </si>
  <si>
    <t>B209</t>
  </si>
  <si>
    <t>B210</t>
  </si>
  <si>
    <t>B211</t>
  </si>
  <si>
    <t>B212</t>
  </si>
  <si>
    <t>B213</t>
  </si>
  <si>
    <t>B214</t>
  </si>
  <si>
    <t>B215</t>
  </si>
  <si>
    <t>B216</t>
  </si>
  <si>
    <t>B217</t>
  </si>
  <si>
    <t>B218</t>
  </si>
  <si>
    <t>B219</t>
  </si>
  <si>
    <t>B220</t>
  </si>
  <si>
    <t>B221</t>
  </si>
  <si>
    <t>B222</t>
  </si>
  <si>
    <t>B223</t>
  </si>
  <si>
    <t>B224</t>
  </si>
  <si>
    <t>B225</t>
  </si>
  <si>
    <t>B226</t>
  </si>
  <si>
    <t>B227</t>
  </si>
  <si>
    <t>B228</t>
  </si>
  <si>
    <t>B229</t>
  </si>
  <si>
    <t>B230</t>
  </si>
  <si>
    <t>B231</t>
  </si>
  <si>
    <t>B232</t>
  </si>
  <si>
    <t>B233</t>
  </si>
  <si>
    <t>B234</t>
  </si>
  <si>
    <t>B235</t>
  </si>
  <si>
    <t>B236</t>
  </si>
  <si>
    <t>B237</t>
  </si>
  <si>
    <t>B238</t>
  </si>
  <si>
    <t>B239</t>
  </si>
  <si>
    <t>B240</t>
  </si>
  <si>
    <t>B241</t>
  </si>
  <si>
    <t>B242</t>
  </si>
  <si>
    <t>B243</t>
  </si>
  <si>
    <t>B244</t>
  </si>
  <si>
    <t>B245</t>
  </si>
  <si>
    <t>B246</t>
  </si>
  <si>
    <t>B247</t>
  </si>
  <si>
    <t>B248</t>
  </si>
  <si>
    <t>B249</t>
  </si>
  <si>
    <t>B250</t>
  </si>
  <si>
    <t>B251</t>
  </si>
  <si>
    <t>B252</t>
  </si>
  <si>
    <t>B253</t>
  </si>
  <si>
    <t>B254</t>
  </si>
  <si>
    <t>B255</t>
  </si>
  <si>
    <t>B256</t>
  </si>
  <si>
    <t>B257</t>
  </si>
  <si>
    <t>B258</t>
  </si>
  <si>
    <t>B259</t>
  </si>
  <si>
    <t>B260</t>
  </si>
  <si>
    <t>B261</t>
  </si>
  <si>
    <t>B262</t>
  </si>
  <si>
    <t>B263</t>
  </si>
  <si>
    <t>B264</t>
  </si>
  <si>
    <t>B265</t>
  </si>
  <si>
    <t>B266</t>
  </si>
  <si>
    <t>B267</t>
  </si>
  <si>
    <t>B268</t>
  </si>
  <si>
    <t>B269</t>
  </si>
  <si>
    <t>B270</t>
  </si>
  <si>
    <t>B271</t>
  </si>
  <si>
    <t>B272</t>
  </si>
  <si>
    <t>B273</t>
  </si>
  <si>
    <t>B274</t>
  </si>
  <si>
    <t>B275</t>
  </si>
  <si>
    <t>B276</t>
  </si>
  <si>
    <t>B277</t>
  </si>
  <si>
    <t>B278</t>
  </si>
  <si>
    <t>B279</t>
  </si>
  <si>
    <t>B280</t>
  </si>
  <si>
    <t>B281</t>
  </si>
  <si>
    <t>B282</t>
  </si>
  <si>
    <t>B283</t>
  </si>
  <si>
    <t>B284</t>
  </si>
  <si>
    <t>B285</t>
  </si>
  <si>
    <t>B286</t>
  </si>
  <si>
    <t>B287</t>
  </si>
  <si>
    <t>B288</t>
  </si>
  <si>
    <t>B289</t>
  </si>
  <si>
    <t>B290</t>
  </si>
  <si>
    <t>B291</t>
  </si>
  <si>
    <t>B292</t>
  </si>
  <si>
    <t>B293</t>
  </si>
  <si>
    <t>B294</t>
  </si>
  <si>
    <t>B295</t>
  </si>
  <si>
    <t>B296</t>
  </si>
  <si>
    <t>B297</t>
  </si>
  <si>
    <t>B298</t>
  </si>
  <si>
    <t>B299</t>
  </si>
  <si>
    <t>B300</t>
  </si>
  <si>
    <t>B301</t>
  </si>
  <si>
    <t>B302</t>
  </si>
  <si>
    <t>B303</t>
  </si>
  <si>
    <t>B304</t>
  </si>
  <si>
    <t>B305</t>
  </si>
  <si>
    <t>B306</t>
  </si>
  <si>
    <t>B307</t>
  </si>
  <si>
    <t>B308</t>
  </si>
  <si>
    <t>B309</t>
  </si>
  <si>
    <t>B310</t>
  </si>
  <si>
    <t>B311</t>
  </si>
  <si>
    <t>B312</t>
  </si>
  <si>
    <t>B313</t>
  </si>
  <si>
    <t>B314</t>
  </si>
  <si>
    <t>B315</t>
  </si>
  <si>
    <t>B316</t>
  </si>
  <si>
    <t>B317</t>
  </si>
  <si>
    <t>B318</t>
  </si>
  <si>
    <t>B319</t>
  </si>
  <si>
    <t>B320</t>
  </si>
  <si>
    <t>B321</t>
  </si>
  <si>
    <t>B322</t>
  </si>
  <si>
    <t>B323</t>
  </si>
  <si>
    <t>B324</t>
  </si>
  <si>
    <t>B325</t>
  </si>
  <si>
    <t>B326</t>
  </si>
  <si>
    <t>B327</t>
  </si>
  <si>
    <t>B328</t>
  </si>
  <si>
    <t>B329</t>
  </si>
  <si>
    <t>B330</t>
  </si>
  <si>
    <t>B331</t>
  </si>
  <si>
    <t>B332</t>
  </si>
  <si>
    <t>B333</t>
  </si>
  <si>
    <t>B334</t>
  </si>
  <si>
    <t>B335</t>
  </si>
  <si>
    <t>B336</t>
  </si>
  <si>
    <t>B337</t>
  </si>
  <si>
    <t>B338</t>
  </si>
  <si>
    <t>B339</t>
  </si>
  <si>
    <t>B340</t>
  </si>
  <si>
    <t>B341</t>
  </si>
  <si>
    <t>B342</t>
  </si>
  <si>
    <t>B343</t>
  </si>
  <si>
    <t>B344</t>
  </si>
  <si>
    <t>B345</t>
  </si>
  <si>
    <t>B346</t>
  </si>
  <si>
    <t>B347</t>
  </si>
  <si>
    <t>B348</t>
  </si>
  <si>
    <t>B349</t>
  </si>
  <si>
    <t>B350</t>
  </si>
  <si>
    <t>B351</t>
  </si>
  <si>
    <t>B352</t>
  </si>
  <si>
    <t>B353</t>
  </si>
  <si>
    <t>B354</t>
  </si>
  <si>
    <t>B355</t>
  </si>
  <si>
    <t>B356</t>
  </si>
  <si>
    <t>B357</t>
  </si>
  <si>
    <t>B358</t>
  </si>
  <si>
    <t>B359</t>
  </si>
  <si>
    <t>B360</t>
  </si>
  <si>
    <t>B361</t>
  </si>
  <si>
    <t>B362</t>
  </si>
  <si>
    <t>B363</t>
  </si>
  <si>
    <t>B364</t>
  </si>
  <si>
    <t>B365</t>
  </si>
  <si>
    <t>B366</t>
  </si>
  <si>
    <t>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</si>
</sst>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Calibri"/>
      <family val="2"/>
      <scheme val="minor"/>
    </font>
    <font>
      <sz val="14"/>
      <color theme="1"/>
      <name val="Calibri"/>
      <family val="2"/>
      <scheme val="minor"/>
    </font>
    <font>
      <sz val="11"/>
      <color theme="0"/>
      <name val="Calibri"/>
      <family val="2"/>
      <scheme val="minor"/>
    </font>
    <font>
      <b/>
      <sz val="14"/>
      <color theme="4"/>
      <name val="Calibri"/>
      <family val="2"/>
      <scheme val="minor"/>
    </font>
    <font>
      <b/>
      <sz val="11"/>
      <color theme="1"/>
      <name val="Calibri"/>
      <family val="2"/>
      <scheme val="minor"/>
    </font>
    <font>
      <b/>
      <u/>
      <sz val="48"/>
      <color theme="1"/>
      <name val="Algerian"/>
      <family val="5"/>
    </font>
  </fonts>
  <fills count="6">
    <fill>
      <patternFill patternType="none"/>
    </fill>
    <fill>
      <patternFill patternType="gray125"/>
    </fill>
    <fill>
      <patternFill patternType="solid">
        <fgColor theme="1" tint="4.9989318521683403E-2"/>
        <bgColor indexed="64"/>
      </patternFill>
    </fill>
    <fill>
      <patternFill patternType="solid">
        <fgColor rgb="FF808080"/>
        <bgColor indexed="64"/>
      </patternFill>
    </fill>
    <fill>
      <patternFill patternType="solid">
        <fgColor theme="1"/>
        <bgColor indexed="64"/>
      </patternFill>
    </fill>
    <fill>
      <patternFill patternType="solid">
        <fgColor theme="4" tint="0.39997558519241921"/>
        <bgColor indexed="64"/>
      </patternFill>
    </fill>
  </fills>
  <borders count="1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2">
    <xf numFmtId="0" fontId="0" fillId="0" borderId="0"/>
    <xf numFmtId="0" fontId="1" fillId="0" borderId="0"/>
  </cellStyleXfs>
  <cellXfs count="35">
    <xf numFmtId="0" fontId="0" fillId="0" borderId="0" xfId="0"/>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9" xfId="0" applyFont="1" applyBorder="1" applyAlignment="1">
      <alignment horizontal="right"/>
    </xf>
    <xf numFmtId="0" fontId="3" fillId="2" borderId="13" xfId="0" applyFont="1" applyFill="1" applyBorder="1" applyAlignment="1">
      <alignment horizontal="right"/>
    </xf>
    <xf numFmtId="0" fontId="3" fillId="2" borderId="14" xfId="1" applyFont="1" applyFill="1" applyBorder="1" applyAlignment="1">
      <alignment horizontal="center"/>
    </xf>
    <xf numFmtId="1" fontId="3" fillId="2" borderId="14" xfId="1" applyNumberFormat="1" applyFont="1" applyFill="1" applyBorder="1" applyAlignment="1">
      <alignment horizontal="center"/>
    </xf>
    <xf numFmtId="164" fontId="3" fillId="2" borderId="14" xfId="1" applyNumberFormat="1" applyFont="1" applyFill="1" applyBorder="1" applyAlignment="1">
      <alignment horizontal="center"/>
    </xf>
    <xf numFmtId="164" fontId="3" fillId="2" borderId="15" xfId="1" applyNumberFormat="1" applyFont="1" applyFill="1" applyBorder="1" applyAlignment="1">
      <alignment horizontal="center"/>
    </xf>
    <xf numFmtId="0" fontId="1" fillId="0" borderId="12" xfId="1" applyBorder="1" applyAlignment="1">
      <alignment horizontal="center"/>
    </xf>
    <xf numFmtId="14" fontId="1" fillId="0" borderId="12" xfId="1" applyNumberFormat="1" applyBorder="1" applyAlignment="1">
      <alignment horizontal="center"/>
    </xf>
    <xf numFmtId="1" fontId="1" fillId="0" borderId="12" xfId="1" applyNumberFormat="1" applyBorder="1" applyAlignment="1">
      <alignment horizontal="center"/>
    </xf>
    <xf numFmtId="0" fontId="1" fillId="0" borderId="12" xfId="0" applyFont="1" applyBorder="1" applyAlignment="1">
      <alignment horizontal="center"/>
    </xf>
    <xf numFmtId="0" fontId="1" fillId="0" borderId="16" xfId="0" applyFont="1" applyBorder="1" applyAlignment="1">
      <alignment horizontal="center"/>
    </xf>
    <xf numFmtId="0" fontId="1" fillId="0" borderId="10" xfId="0" applyFont="1" applyBorder="1" applyAlignment="1">
      <alignment horizontal="right"/>
    </xf>
    <xf numFmtId="0" fontId="1" fillId="0" borderId="11" xfId="1" applyBorder="1" applyAlignment="1">
      <alignment horizontal="center"/>
    </xf>
    <xf numFmtId="14" fontId="1" fillId="0" borderId="11" xfId="1" applyNumberFormat="1" applyBorder="1" applyAlignment="1">
      <alignment horizontal="center"/>
    </xf>
    <xf numFmtId="1" fontId="1" fillId="0" borderId="11" xfId="1" applyNumberFormat="1" applyBorder="1" applyAlignment="1">
      <alignment horizontal="center"/>
    </xf>
    <xf numFmtId="0" fontId="1" fillId="0" borderId="11" xfId="0" applyFont="1" applyBorder="1" applyAlignment="1">
      <alignment horizontal="center"/>
    </xf>
    <xf numFmtId="0" fontId="1" fillId="0" borderId="17" xfId="0" applyFont="1" applyBorder="1" applyAlignment="1">
      <alignment horizontal="center"/>
    </xf>
    <xf numFmtId="0" fontId="0" fillId="3" borderId="0" xfId="0" applyFill="1"/>
    <xf numFmtId="1" fontId="4" fillId="0" borderId="0" xfId="0" applyNumberFormat="1" applyFont="1"/>
    <xf numFmtId="0" fontId="0" fillId="4" borderId="0" xfId="0" applyFill="1"/>
    <xf numFmtId="0" fontId="2" fillId="4" borderId="0" xfId="0" applyFont="1" applyFill="1"/>
    <xf numFmtId="0" fontId="5" fillId="5" borderId="1" xfId="0" applyFont="1" applyFill="1" applyBorder="1" applyAlignment="1">
      <alignment horizontal="center"/>
    </xf>
    <xf numFmtId="0" fontId="5" fillId="5" borderId="2" xfId="0" applyFont="1" applyFill="1" applyBorder="1" applyAlignment="1">
      <alignment horizontal="center"/>
    </xf>
    <xf numFmtId="0" fontId="5" fillId="5" borderId="3" xfId="0" applyFont="1" applyFill="1" applyBorder="1" applyAlignment="1">
      <alignment horizontal="center"/>
    </xf>
    <xf numFmtId="0" fontId="5" fillId="5" borderId="4" xfId="0" applyFont="1" applyFill="1" applyBorder="1" applyAlignment="1">
      <alignment horizontal="center"/>
    </xf>
    <xf numFmtId="0" fontId="5" fillId="5" borderId="0" xfId="0" applyFont="1" applyFill="1" applyAlignment="1">
      <alignment horizontal="center"/>
    </xf>
    <xf numFmtId="0" fontId="5" fillId="5" borderId="5" xfId="0" applyFont="1" applyFill="1" applyBorder="1" applyAlignment="1">
      <alignment horizontal="center"/>
    </xf>
    <xf numFmtId="0" fontId="5" fillId="5" borderId="6" xfId="0" applyFont="1" applyFill="1" applyBorder="1" applyAlignment="1">
      <alignment horizontal="center"/>
    </xf>
    <xf numFmtId="0" fontId="5" fillId="5" borderId="7" xfId="0" applyFont="1" applyFill="1" applyBorder="1" applyAlignment="1">
      <alignment horizontal="center"/>
    </xf>
    <xf numFmtId="0" fontId="5" fillId="5" borderId="8" xfId="0" applyFont="1" applyFill="1" applyBorder="1" applyAlignment="1">
      <alignment horizontal="center"/>
    </xf>
  </cellXfs>
  <cellStyles count="2">
    <cellStyle name="Normal" xfId="0" builtinId="0"/>
    <cellStyle name="Normal 2" xfId="1" xr:uid="{F41C4060-9CE9-42EC-9E83-31B54A4AE3BD}"/>
  </cellStyles>
  <dxfs count="20">
    <dxf>
      <font>
        <color rgb="FF9C0006"/>
      </font>
      <fill>
        <patternFill>
          <bgColor rgb="FFFFC7CE"/>
        </patternFill>
      </fill>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Calibri"/>
        <family val="2"/>
        <scheme val="minor"/>
      </font>
      <alignment horizontal="right"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border>
        <bottom style="thin">
          <color indexed="64"/>
        </bottom>
      </border>
    </dxf>
    <dxf>
      <font>
        <b/>
        <i val="0"/>
        <strike val="0"/>
        <condense val="0"/>
        <extend val="0"/>
        <outline val="0"/>
        <shadow val="0"/>
        <u val="none"/>
        <vertAlign val="baseline"/>
        <sz val="14"/>
        <color theme="4"/>
        <name val="Calibri"/>
        <family val="2"/>
        <scheme val="minor"/>
      </font>
      <numFmt numFmtId="164" formatCode="0.000"/>
      <fill>
        <patternFill patternType="solid">
          <fgColor indexed="64"/>
          <bgColor theme="1" tint="4.9989318521683403E-2"/>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font>
    </dxf>
    <dxf>
      <font>
        <color rgb="FF9C5700"/>
      </font>
      <fill>
        <patternFill>
          <bgColor rgb="FFFFEB9C"/>
        </patternFill>
      </fill>
    </dxf>
  </dxfs>
  <tableStyles count="0" defaultTableStyle="TableStyleMedium2" defaultPivotStyle="PivotStyleLight16"/>
  <colors>
    <mruColors>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[Harshit dashboard.xlsx]Pivot table!PivotTable3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table'!$B$3</c:f>
              <c:strCache>
                <c:ptCount val="1"/>
                <c:pt idx="0">
                  <c:v>Total</c:v>
                </c:pt>
              </c:strCache>
            </c:strRef>
          </c:tx>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table'!$A$4:$A$12</c:f>
              <c:strCache>
                <c:ptCount val="8"/>
                <c:pt idx="0">
                  <c:v>Australia</c:v>
                </c:pt>
                <c:pt idx="1">
                  <c:v>China</c:v>
                </c:pt>
                <c:pt idx="2">
                  <c:v>India</c:v>
                </c:pt>
                <c:pt idx="3">
                  <c:v>Mexico</c:v>
                </c:pt>
                <c:pt idx="4">
                  <c:v>South Korea</c:v>
                </c:pt>
                <c:pt idx="5">
                  <c:v>UAE</c:v>
                </c:pt>
                <c:pt idx="6">
                  <c:v>UK</c:v>
                </c:pt>
                <c:pt idx="7">
                  <c:v>USA</c:v>
                </c:pt>
              </c:strCache>
            </c:strRef>
          </c:cat>
          <c:val>
            <c:numRef>
              <c:f>'Pivot table'!$B$4:$B$12</c:f>
              <c:numCache>
                <c:formatCode>0</c:formatCode>
                <c:ptCount val="8"/>
                <c:pt idx="0">
                  <c:v>24990</c:v>
                </c:pt>
                <c:pt idx="1">
                  <c:v>41830</c:v>
                </c:pt>
                <c:pt idx="2">
                  <c:v>67030</c:v>
                </c:pt>
                <c:pt idx="3">
                  <c:v>26370</c:v>
                </c:pt>
                <c:pt idx="4">
                  <c:v>30300</c:v>
                </c:pt>
                <c:pt idx="5">
                  <c:v>34350</c:v>
                </c:pt>
                <c:pt idx="6">
                  <c:v>42370</c:v>
                </c:pt>
                <c:pt idx="7">
                  <c:v>68300</c:v>
                </c:pt>
              </c:numCache>
            </c:numRef>
          </c:val>
          <c:extLst>
            <c:ext xmlns:c16="http://schemas.microsoft.com/office/drawing/2014/chart" uri="{C3380CC4-5D6E-409C-BE32-E72D297353CC}">
              <c16:uniqueId val="{00000000-7F57-4346-8C24-D1761D299551}"/>
            </c:ext>
          </c:extLst>
        </c:ser>
        <c:dLbls>
          <c:showLegendKey val="0"/>
          <c:showVal val="1"/>
          <c:showCatName val="0"/>
          <c:showSerName val="0"/>
          <c:showPercent val="0"/>
          <c:showBubbleSize val="0"/>
        </c:dLbls>
        <c:gapWidth val="150"/>
        <c:shape val="box"/>
        <c:axId val="1505083760"/>
        <c:axId val="1505091440"/>
        <c:axId val="0"/>
      </c:bar3DChart>
      <c:catAx>
        <c:axId val="1505083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5091440"/>
        <c:crosses val="autoZero"/>
        <c:auto val="1"/>
        <c:lblAlgn val="ctr"/>
        <c:lblOffset val="100"/>
        <c:noMultiLvlLbl val="0"/>
      </c:catAx>
      <c:valAx>
        <c:axId val="1505091440"/>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508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[Harshit dashboard.xlsx]Pivot table!PivotTable4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Booking by Room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8"/>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9"/>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1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s>
    <c:plotArea>
      <c:layout/>
      <c:pieChart>
        <c:varyColors val="1"/>
        <c:ser>
          <c:idx val="0"/>
          <c:order val="0"/>
          <c:tx>
            <c:strRef>
              <c:f>'Pivot table'!$E$3</c:f>
              <c:strCache>
                <c:ptCount val="1"/>
                <c:pt idx="0">
                  <c:v>Total</c:v>
                </c:pt>
              </c:strCache>
            </c:strRef>
          </c:tx>
          <c:dPt>
            <c:idx val="0"/>
            <c:bubble3D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1-78B6-47E3-9EF2-1C4A86311C8F}"/>
              </c:ext>
            </c:extLst>
          </c:dPt>
          <c:dPt>
            <c:idx val="1"/>
            <c:bubble3D val="0"/>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3-78B6-47E3-9EF2-1C4A86311C8F}"/>
              </c:ext>
            </c:extLst>
          </c:dPt>
          <c:dPt>
            <c:idx val="2"/>
            <c:bubble3D val="0"/>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5-78B6-47E3-9EF2-1C4A86311C8F}"/>
              </c:ext>
            </c:extLst>
          </c:dPt>
          <c:dPt>
            <c:idx val="3"/>
            <c:bubble3D val="0"/>
            <c:spPr>
              <a:gradFill rotWithShape="1">
                <a:gsLst>
                  <a:gs pos="0">
                    <a:schemeClr val="accent4">
                      <a:shade val="85000"/>
                      <a:satMod val="130000"/>
                    </a:schemeClr>
                  </a:gs>
                  <a:gs pos="34000">
                    <a:schemeClr val="accent4">
                      <a:shade val="87000"/>
                      <a:satMod val="125000"/>
                    </a:schemeClr>
                  </a:gs>
                  <a:gs pos="70000">
                    <a:schemeClr val="accent4">
                      <a:tint val="100000"/>
                      <a:shade val="90000"/>
                      <a:satMod val="130000"/>
                    </a:schemeClr>
                  </a:gs>
                  <a:gs pos="100000">
                    <a:schemeClr val="accent4">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7-78B6-47E3-9EF2-1C4A86311C8F}"/>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table'!$D$4:$D$8</c:f>
              <c:strCache>
                <c:ptCount val="4"/>
                <c:pt idx="0">
                  <c:v>Deluxe</c:v>
                </c:pt>
                <c:pt idx="1">
                  <c:v>Double</c:v>
                </c:pt>
                <c:pt idx="2">
                  <c:v>Single</c:v>
                </c:pt>
                <c:pt idx="3">
                  <c:v>Suite</c:v>
                </c:pt>
              </c:strCache>
            </c:strRef>
          </c:cat>
          <c:val>
            <c:numRef>
              <c:f>'Pivot table'!$E$4:$E$8</c:f>
              <c:numCache>
                <c:formatCode>General</c:formatCode>
                <c:ptCount val="4"/>
                <c:pt idx="0">
                  <c:v>64</c:v>
                </c:pt>
                <c:pt idx="1">
                  <c:v>173</c:v>
                </c:pt>
                <c:pt idx="2">
                  <c:v>89</c:v>
                </c:pt>
                <c:pt idx="3">
                  <c:v>40</c:v>
                </c:pt>
              </c:numCache>
            </c:numRef>
          </c:val>
          <c:extLst>
            <c:ext xmlns:c16="http://schemas.microsoft.com/office/drawing/2014/chart" uri="{C3380CC4-5D6E-409C-BE32-E72D297353CC}">
              <c16:uniqueId val="{00000008-78B6-47E3-9EF2-1C4A86311C8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[Harshit dashboard.xlsx]Pivot table!PivotTable5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Booking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0FB-4AE9-931E-6A078436B66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0FB-4AE9-931E-6A078436B66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0FB-4AE9-931E-6A078436B66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table'!$G$4:$G$7</c:f>
              <c:strCache>
                <c:ptCount val="3"/>
                <c:pt idx="0">
                  <c:v>Cancelled</c:v>
                </c:pt>
                <c:pt idx="1">
                  <c:v>Confirmed</c:v>
                </c:pt>
                <c:pt idx="2">
                  <c:v>No-show</c:v>
                </c:pt>
              </c:strCache>
            </c:strRef>
          </c:cat>
          <c:val>
            <c:numRef>
              <c:f>'Pivot table'!$H$4:$H$7</c:f>
              <c:numCache>
                <c:formatCode>General</c:formatCode>
                <c:ptCount val="3"/>
                <c:pt idx="0">
                  <c:v>19</c:v>
                </c:pt>
                <c:pt idx="1">
                  <c:v>269</c:v>
                </c:pt>
                <c:pt idx="2">
                  <c:v>78</c:v>
                </c:pt>
              </c:numCache>
            </c:numRef>
          </c:val>
          <c:extLst>
            <c:ext xmlns:c16="http://schemas.microsoft.com/office/drawing/2014/chart" uri="{C3380CC4-5D6E-409C-BE32-E72D297353CC}">
              <c16:uniqueId val="{00000006-C0FB-4AE9-931E-6A078436B66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[Harshit dashboard.xlsx]Pivot table!PivotTable1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a:t>
            </a:r>
            <a:r>
              <a:rPr lang="en-US" baseline="0"/>
              <a:t> by Booking Source</a:t>
            </a:r>
            <a:endParaRPr lang="en-US"/>
          </a:p>
        </c:rich>
      </c:tx>
      <c:layout>
        <c:manualLayout>
          <c:xMode val="edge"/>
          <c:yMode val="edge"/>
          <c:x val="0.32799216821871457"/>
          <c:y val="0.1059823841123734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table'!$J$4:$J$7</c:f>
              <c:strCache>
                <c:ptCount val="3"/>
                <c:pt idx="0">
                  <c:v>Agent</c:v>
                </c:pt>
                <c:pt idx="1">
                  <c:v>Walk-in</c:v>
                </c:pt>
                <c:pt idx="2">
                  <c:v>Website</c:v>
                </c:pt>
              </c:strCache>
            </c:strRef>
          </c:cat>
          <c:val>
            <c:numRef>
              <c:f>'Pivot table'!$K$4:$K$7</c:f>
              <c:numCache>
                <c:formatCode>0</c:formatCode>
                <c:ptCount val="3"/>
                <c:pt idx="0">
                  <c:v>77700</c:v>
                </c:pt>
                <c:pt idx="1">
                  <c:v>231000</c:v>
                </c:pt>
                <c:pt idx="2">
                  <c:v>26840</c:v>
                </c:pt>
              </c:numCache>
            </c:numRef>
          </c:val>
          <c:extLst>
            <c:ext xmlns:c16="http://schemas.microsoft.com/office/drawing/2014/chart" uri="{C3380CC4-5D6E-409C-BE32-E72D297353CC}">
              <c16:uniqueId val="{00000000-53E8-49A4-B56F-ADD8ED1F7BE6}"/>
            </c:ext>
          </c:extLst>
        </c:ser>
        <c:dLbls>
          <c:dLblPos val="inEnd"/>
          <c:showLegendKey val="0"/>
          <c:showVal val="1"/>
          <c:showCatName val="0"/>
          <c:showSerName val="0"/>
          <c:showPercent val="0"/>
          <c:showBubbleSize val="0"/>
        </c:dLbls>
        <c:gapWidth val="65"/>
        <c:axId val="1613253504"/>
        <c:axId val="1613253984"/>
      </c:barChart>
      <c:catAx>
        <c:axId val="1613253504"/>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13253984"/>
        <c:crosses val="autoZero"/>
        <c:auto val="1"/>
        <c:lblAlgn val="ctr"/>
        <c:lblOffset val="100"/>
        <c:noMultiLvlLbl val="0"/>
      </c:catAx>
      <c:valAx>
        <c:axId val="161325398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132535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[Harshit dashboard.xlsx]Pivot table!PivotTable6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stay Duration</a:t>
            </a:r>
          </a:p>
        </c:rich>
      </c:tx>
      <c:overlay val="0"/>
      <c:spPr>
        <a:noFill/>
        <a:ln>
          <a:noFill/>
        </a:ln>
        <a:effectLst>
          <a:outerShdw blurRad="50800" dist="38100" algn="l" rotWithShape="0">
            <a:prstClr val="black">
              <a:alpha val="40000"/>
            </a:prstClr>
          </a:outerShdw>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44450" dist="25400" dir="2700000" algn="br" rotWithShape="0">
              <a:srgbClr val="000000">
                <a:alpha val="60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path path="circle">
                <a:fillToRect l="100000" t="100000" r="100000" b="100000"/>
              </a:path>
            </a:gradFill>
            <a:ln w="9525">
              <a:solidFill>
                <a:schemeClr val="accent4"/>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45047073754576"/>
          <c:y val="0.22943448650123338"/>
          <c:w val="0.7428386494400111"/>
          <c:h val="0.30095867101351931"/>
        </c:manualLayout>
      </c:layout>
      <c:lineChart>
        <c:grouping val="standard"/>
        <c:varyColors val="0"/>
        <c:ser>
          <c:idx val="0"/>
          <c:order val="0"/>
          <c:tx>
            <c:strRef>
              <c:f>'Pivot table'!$N$3</c:f>
              <c:strCache>
                <c:ptCount val="1"/>
                <c:pt idx="0">
                  <c:v>Total</c:v>
                </c:pt>
              </c:strCache>
            </c:strRef>
          </c:tx>
          <c:spPr>
            <a:ln w="34925" cap="rnd">
              <a:solidFill>
                <a:schemeClr val="accent4"/>
              </a:solidFill>
              <a:round/>
            </a:ln>
            <a:effectLst>
              <a:outerShdw blurRad="44450" dist="25400" dir="2700000" algn="br" rotWithShape="0">
                <a:srgbClr val="000000">
                  <a:alpha val="60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path path="circle">
                  <a:fillToRect l="100000" t="100000" r="100000" b="100000"/>
                </a:path>
              </a:gradFill>
              <a:ln w="9525">
                <a:solidFill>
                  <a:schemeClr val="accent4"/>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table'!$M$4:$M$37</c:f>
              <c:multiLvlStrCache>
                <c:ptCount val="29"/>
                <c:lvl>
                  <c:pt idx="0">
                    <c:v>Australia</c:v>
                  </c:pt>
                  <c:pt idx="1">
                    <c:v>China</c:v>
                  </c:pt>
                  <c:pt idx="2">
                    <c:v>India</c:v>
                  </c:pt>
                  <c:pt idx="3">
                    <c:v>Mexico</c:v>
                  </c:pt>
                  <c:pt idx="4">
                    <c:v>South Korea</c:v>
                  </c:pt>
                  <c:pt idx="5">
                    <c:v>UAE</c:v>
                  </c:pt>
                  <c:pt idx="6">
                    <c:v>UK</c:v>
                  </c:pt>
                  <c:pt idx="7">
                    <c:v>USA</c:v>
                  </c:pt>
                  <c:pt idx="8">
                    <c:v>Australia</c:v>
                  </c:pt>
                  <c:pt idx="9">
                    <c:v>China</c:v>
                  </c:pt>
                  <c:pt idx="10">
                    <c:v>India</c:v>
                  </c:pt>
                  <c:pt idx="11">
                    <c:v>Mexico</c:v>
                  </c:pt>
                  <c:pt idx="12">
                    <c:v>South Korea</c:v>
                  </c:pt>
                  <c:pt idx="13">
                    <c:v>UAE</c:v>
                  </c:pt>
                  <c:pt idx="14">
                    <c:v>UK</c:v>
                  </c:pt>
                  <c:pt idx="15">
                    <c:v>USA</c:v>
                  </c:pt>
                  <c:pt idx="16">
                    <c:v>Australia</c:v>
                  </c:pt>
                  <c:pt idx="17">
                    <c:v>China</c:v>
                  </c:pt>
                  <c:pt idx="18">
                    <c:v>India</c:v>
                  </c:pt>
                  <c:pt idx="19">
                    <c:v>Mexico</c:v>
                  </c:pt>
                  <c:pt idx="20">
                    <c:v>South Korea</c:v>
                  </c:pt>
                  <c:pt idx="21">
                    <c:v>UAE</c:v>
                  </c:pt>
                  <c:pt idx="22">
                    <c:v>UK</c:v>
                  </c:pt>
                  <c:pt idx="23">
                    <c:v>USA</c:v>
                  </c:pt>
                  <c:pt idx="24">
                    <c:v>Australia</c:v>
                  </c:pt>
                  <c:pt idx="25">
                    <c:v>China</c:v>
                  </c:pt>
                  <c:pt idx="26">
                    <c:v>India</c:v>
                  </c:pt>
                  <c:pt idx="27">
                    <c:v>UAE</c:v>
                  </c:pt>
                  <c:pt idx="28">
                    <c:v>USA</c:v>
                  </c:pt>
                </c:lvl>
                <c:lvl>
                  <c:pt idx="0">
                    <c:v>Deluxe</c:v>
                  </c:pt>
                  <c:pt idx="8">
                    <c:v>Double</c:v>
                  </c:pt>
                  <c:pt idx="16">
                    <c:v>Single</c:v>
                  </c:pt>
                  <c:pt idx="24">
                    <c:v>Suite</c:v>
                  </c:pt>
                </c:lvl>
              </c:multiLvlStrCache>
            </c:multiLvlStrRef>
          </c:cat>
          <c:val>
            <c:numRef>
              <c:f>'Pivot table'!$N$4:$N$37</c:f>
              <c:numCache>
                <c:formatCode>General</c:formatCode>
                <c:ptCount val="29"/>
                <c:pt idx="0">
                  <c:v>0</c:v>
                </c:pt>
                <c:pt idx="1">
                  <c:v>0</c:v>
                </c:pt>
                <c:pt idx="2">
                  <c:v>1.25</c:v>
                </c:pt>
                <c:pt idx="3">
                  <c:v>0</c:v>
                </c:pt>
                <c:pt idx="4">
                  <c:v>0</c:v>
                </c:pt>
                <c:pt idx="5">
                  <c:v>0</c:v>
                </c:pt>
                <c:pt idx="6">
                  <c:v>0</c:v>
                </c:pt>
                <c:pt idx="7">
                  <c:v>0.1388888888888889</c:v>
                </c:pt>
                <c:pt idx="8">
                  <c:v>0</c:v>
                </c:pt>
                <c:pt idx="9">
                  <c:v>0</c:v>
                </c:pt>
                <c:pt idx="10">
                  <c:v>2.1914672216441207</c:v>
                </c:pt>
                <c:pt idx="11">
                  <c:v>0</c:v>
                </c:pt>
                <c:pt idx="12">
                  <c:v>0</c:v>
                </c:pt>
                <c:pt idx="13">
                  <c:v>0</c:v>
                </c:pt>
                <c:pt idx="14">
                  <c:v>0</c:v>
                </c:pt>
                <c:pt idx="15">
                  <c:v>0.54437869822485208</c:v>
                </c:pt>
                <c:pt idx="16">
                  <c:v>0</c:v>
                </c:pt>
                <c:pt idx="17">
                  <c:v>0</c:v>
                </c:pt>
                <c:pt idx="18">
                  <c:v>2.0826446280991737</c:v>
                </c:pt>
                <c:pt idx="19">
                  <c:v>0</c:v>
                </c:pt>
                <c:pt idx="20">
                  <c:v>0</c:v>
                </c:pt>
                <c:pt idx="21">
                  <c:v>0</c:v>
                </c:pt>
                <c:pt idx="22">
                  <c:v>0</c:v>
                </c:pt>
                <c:pt idx="23">
                  <c:v>0.24489795918367346</c:v>
                </c:pt>
                <c:pt idx="24">
                  <c:v>0</c:v>
                </c:pt>
                <c:pt idx="25">
                  <c:v>0</c:v>
                </c:pt>
                <c:pt idx="26">
                  <c:v>0</c:v>
                </c:pt>
                <c:pt idx="27">
                  <c:v>0</c:v>
                </c:pt>
                <c:pt idx="28">
                  <c:v>0</c:v>
                </c:pt>
              </c:numCache>
            </c:numRef>
          </c:val>
          <c:smooth val="0"/>
          <c:extLst>
            <c:ext xmlns:c16="http://schemas.microsoft.com/office/drawing/2014/chart" uri="{C3380CC4-5D6E-409C-BE32-E72D297353CC}">
              <c16:uniqueId val="{00000000-0013-469F-A4DF-CD782260812C}"/>
            </c:ext>
          </c:extLst>
        </c:ser>
        <c:dLbls>
          <c:dLblPos val="ctr"/>
          <c:showLegendKey val="0"/>
          <c:showVal val="1"/>
          <c:showCatName val="0"/>
          <c:showSerName val="0"/>
          <c:showPercent val="0"/>
          <c:showBubbleSize val="0"/>
        </c:dLbls>
        <c:marker val="1"/>
        <c:smooth val="0"/>
        <c:axId val="1505086640"/>
        <c:axId val="1505087600"/>
      </c:lineChart>
      <c:catAx>
        <c:axId val="15050866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5087600"/>
        <c:crosses val="autoZero"/>
        <c:auto val="1"/>
        <c:lblAlgn val="ctr"/>
        <c:lblOffset val="100"/>
        <c:noMultiLvlLbl val="0"/>
      </c:catAx>
      <c:valAx>
        <c:axId val="15050876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508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451397</xdr:colOff>
      <xdr:row>20</xdr:row>
      <xdr:rowOff>127741</xdr:rowOff>
    </xdr:from>
    <xdr:to>
      <xdr:col>24</xdr:col>
      <xdr:colOff>269185</xdr:colOff>
      <xdr:row>37</xdr:row>
      <xdr:rowOff>4141</xdr:rowOff>
    </xdr:to>
    <xdr:graphicFrame macro="">
      <xdr:nvGraphicFramePr>
        <xdr:cNvPr id="2" name="Chart 1">
          <a:extLst>
            <a:ext uri="{FF2B5EF4-FFF2-40B4-BE49-F238E27FC236}">
              <a16:creationId xmlns:a16="http://schemas.microsoft.com/office/drawing/2014/main" id="{93C18CFF-590C-47AA-BF45-BEF4CCF49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497860</xdr:colOff>
      <xdr:row>20</xdr:row>
      <xdr:rowOff>138529</xdr:rowOff>
    </xdr:from>
    <xdr:to>
      <xdr:col>15</xdr:col>
      <xdr:colOff>404589</xdr:colOff>
      <xdr:row>37</xdr:row>
      <xdr:rowOff>21896</xdr:rowOff>
    </xdr:to>
    <xdr:graphicFrame macro="">
      <xdr:nvGraphicFramePr>
        <xdr:cNvPr id="3" name="Chart 2">
          <a:extLst>
            <a:ext uri="{FF2B5EF4-FFF2-40B4-BE49-F238E27FC236}">
              <a16:creationId xmlns:a16="http://schemas.microsoft.com/office/drawing/2014/main" id="{C090DFD9-D8BB-4F6B-B46A-628596075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288455</xdr:colOff>
      <xdr:row>20</xdr:row>
      <xdr:rowOff>116334</xdr:rowOff>
    </xdr:from>
    <xdr:to>
      <xdr:col>30</xdr:col>
      <xdr:colOff>549777</xdr:colOff>
      <xdr:row>37</xdr:row>
      <xdr:rowOff>31749</xdr:rowOff>
    </xdr:to>
    <xdr:graphicFrame macro="">
      <xdr:nvGraphicFramePr>
        <xdr:cNvPr id="4" name="Chart 3">
          <a:extLst>
            <a:ext uri="{FF2B5EF4-FFF2-40B4-BE49-F238E27FC236}">
              <a16:creationId xmlns:a16="http://schemas.microsoft.com/office/drawing/2014/main" id="{B3FC2741-2E5F-4E12-8E1F-2D63D1A00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543769</xdr:colOff>
      <xdr:row>20</xdr:row>
      <xdr:rowOff>118820</xdr:rowOff>
    </xdr:from>
    <xdr:to>
      <xdr:col>9</xdr:col>
      <xdr:colOff>465700</xdr:colOff>
      <xdr:row>37</xdr:row>
      <xdr:rowOff>28444</xdr:rowOff>
    </xdr:to>
    <xdr:graphicFrame macro="">
      <xdr:nvGraphicFramePr>
        <xdr:cNvPr id="5" name="Chart 4">
          <a:extLst>
            <a:ext uri="{FF2B5EF4-FFF2-40B4-BE49-F238E27FC236}">
              <a16:creationId xmlns:a16="http://schemas.microsoft.com/office/drawing/2014/main" id="{3AC28A56-C9A9-4E41-9628-28CC3EA62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471816</xdr:colOff>
      <xdr:row>4</xdr:row>
      <xdr:rowOff>137582</xdr:rowOff>
    </xdr:from>
    <xdr:to>
      <xdr:col>9</xdr:col>
      <xdr:colOff>524631</xdr:colOff>
      <xdr:row>20</xdr:row>
      <xdr:rowOff>48381</xdr:rowOff>
    </xdr:to>
    <xdr:graphicFrame macro="">
      <xdr:nvGraphicFramePr>
        <xdr:cNvPr id="6" name="Chart 5">
          <a:extLst>
            <a:ext uri="{FF2B5EF4-FFF2-40B4-BE49-F238E27FC236}">
              <a16:creationId xmlns:a16="http://schemas.microsoft.com/office/drawing/2014/main" id="{BE40E224-079A-4943-9B19-2822EBA3B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21800</xdr:colOff>
      <xdr:row>12</xdr:row>
      <xdr:rowOff>32623</xdr:rowOff>
    </xdr:from>
    <xdr:to>
      <xdr:col>20</xdr:col>
      <xdr:colOff>590687</xdr:colOff>
      <xdr:row>20</xdr:row>
      <xdr:rowOff>83737</xdr:rowOff>
    </xdr:to>
    <mc:AlternateContent xmlns:mc="http://schemas.openxmlformats.org/markup-compatibility/2006" xmlns:a14="http://schemas.microsoft.com/office/drawing/2010/main">
      <mc:Choice Requires="a14">
        <xdr:graphicFrame macro="">
          <xdr:nvGraphicFramePr>
            <xdr:cNvPr id="13" name="Room type">
              <a:extLst>
                <a:ext uri="{FF2B5EF4-FFF2-40B4-BE49-F238E27FC236}">
                  <a16:creationId xmlns:a16="http://schemas.microsoft.com/office/drawing/2014/main" id="{60E51287-5BA4-80DB-AF37-7213530FA191}"/>
                </a:ext>
              </a:extLst>
            </xdr:cNvPr>
            <xdr:cNvGraphicFramePr/>
          </xdr:nvGraphicFramePr>
          <xdr:xfrm>
            <a:off x="0" y="0"/>
            <a:ext cx="0" cy="0"/>
          </xdr:xfrm>
          <a:graphic>
            <a:graphicData uri="http://schemas.microsoft.com/office/drawing/2010/slicer">
              <sle:slicer xmlns:sle="http://schemas.microsoft.com/office/drawing/2010/slicer" name="Room type"/>
            </a:graphicData>
          </a:graphic>
        </xdr:graphicFrame>
      </mc:Choice>
      <mc:Fallback xmlns="">
        <xdr:sp macro="" textlink="">
          <xdr:nvSpPr>
            <xdr:cNvPr id="0" name=""/>
            <xdr:cNvSpPr>
              <a:spLocks noTextEdit="1"/>
            </xdr:cNvSpPr>
          </xdr:nvSpPr>
          <xdr:spPr>
            <a:xfrm>
              <a:off x="9107185" y="2260008"/>
              <a:ext cx="3597348" cy="1536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3811</xdr:colOff>
      <xdr:row>12</xdr:row>
      <xdr:rowOff>53845</xdr:rowOff>
    </xdr:from>
    <xdr:to>
      <xdr:col>27</xdr:col>
      <xdr:colOff>188406</xdr:colOff>
      <xdr:row>20</xdr:row>
      <xdr:rowOff>83736</xdr:rowOff>
    </xdr:to>
    <mc:AlternateContent xmlns:mc="http://schemas.openxmlformats.org/markup-compatibility/2006" xmlns:a14="http://schemas.microsoft.com/office/drawing/2010/main">
      <mc:Choice Requires="a14">
        <xdr:graphicFrame macro="">
          <xdr:nvGraphicFramePr>
            <xdr:cNvPr id="14" name=" Status 1">
              <a:extLst>
                <a:ext uri="{FF2B5EF4-FFF2-40B4-BE49-F238E27FC236}">
                  <a16:creationId xmlns:a16="http://schemas.microsoft.com/office/drawing/2014/main" id="{EDF220CA-C0D3-1121-C4FE-DFC992E04D7D}"/>
                </a:ext>
              </a:extLst>
            </xdr:cNvPr>
            <xdr:cNvGraphicFramePr/>
          </xdr:nvGraphicFramePr>
          <xdr:xfrm>
            <a:off x="0" y="0"/>
            <a:ext cx="0" cy="0"/>
          </xdr:xfrm>
          <a:graphic>
            <a:graphicData uri="http://schemas.microsoft.com/office/drawing/2010/slicer">
              <sle:slicer xmlns:sle="http://schemas.microsoft.com/office/drawing/2010/slicer" name=" Status 1"/>
            </a:graphicData>
          </a:graphic>
        </xdr:graphicFrame>
      </mc:Choice>
      <mc:Fallback xmlns="">
        <xdr:sp macro="" textlink="">
          <xdr:nvSpPr>
            <xdr:cNvPr id="0" name=""/>
            <xdr:cNvSpPr>
              <a:spLocks noTextEdit="1"/>
            </xdr:cNvSpPr>
          </xdr:nvSpPr>
          <xdr:spPr>
            <a:xfrm>
              <a:off x="12723349" y="2281230"/>
              <a:ext cx="3818749" cy="1514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207841</xdr:colOff>
      <xdr:row>5</xdr:row>
      <xdr:rowOff>1</xdr:rowOff>
    </xdr:from>
    <xdr:to>
      <xdr:col>30</xdr:col>
      <xdr:colOff>539750</xdr:colOff>
      <xdr:row>20</xdr:row>
      <xdr:rowOff>76759</xdr:rowOff>
    </xdr:to>
    <mc:AlternateContent xmlns:mc="http://schemas.openxmlformats.org/markup-compatibility/2006" xmlns:a14="http://schemas.microsoft.com/office/drawing/2010/main">
      <mc:Choice Requires="a14">
        <xdr:graphicFrame macro="">
          <xdr:nvGraphicFramePr>
            <xdr:cNvPr id="15" name="Country">
              <a:extLst>
                <a:ext uri="{FF2B5EF4-FFF2-40B4-BE49-F238E27FC236}">
                  <a16:creationId xmlns:a16="http://schemas.microsoft.com/office/drawing/2014/main" id="{E572F545-4459-97CF-9E67-31858CC51D1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6561533" y="928078"/>
              <a:ext cx="1830174" cy="28609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553065</xdr:colOff>
      <xdr:row>4</xdr:row>
      <xdr:rowOff>168644</xdr:rowOff>
    </xdr:from>
    <xdr:to>
      <xdr:col>27</xdr:col>
      <xdr:colOff>182358</xdr:colOff>
      <xdr:row>12</xdr:row>
      <xdr:rowOff>34515</xdr:rowOff>
    </xdr:to>
    <mc:AlternateContent xmlns:mc="http://schemas.openxmlformats.org/markup-compatibility/2006" xmlns:tsle="http://schemas.microsoft.com/office/drawing/2012/timeslicer">
      <mc:Choice Requires="tsle">
        <xdr:graphicFrame macro="">
          <xdr:nvGraphicFramePr>
            <xdr:cNvPr id="16" name="Check-out Date">
              <a:extLst>
                <a:ext uri="{FF2B5EF4-FFF2-40B4-BE49-F238E27FC236}">
                  <a16:creationId xmlns:a16="http://schemas.microsoft.com/office/drawing/2014/main" id="{35D002BE-AFAE-E0A1-FD84-0268BA98E049}"/>
                </a:ext>
              </a:extLst>
            </xdr:cNvPr>
            <xdr:cNvGraphicFramePr/>
          </xdr:nvGraphicFramePr>
          <xdr:xfrm>
            <a:off x="0" y="0"/>
            <a:ext cx="0" cy="0"/>
          </xdr:xfrm>
          <a:graphic>
            <a:graphicData uri="http://schemas.microsoft.com/office/drawing/2012/timeslicer">
              <tsle:timeslicer name="Check-out Date"/>
            </a:graphicData>
          </a:graphic>
        </xdr:graphicFrame>
      </mc:Choice>
      <mc:Fallback xmlns="">
        <xdr:sp macro="" textlink="">
          <xdr:nvSpPr>
            <xdr:cNvPr id="0" name=""/>
            <xdr:cNvSpPr>
              <a:spLocks noTextEdit="1"/>
            </xdr:cNvSpPr>
          </xdr:nvSpPr>
          <xdr:spPr>
            <a:xfrm>
              <a:off x="5927698" y="913127"/>
              <a:ext cx="10808453" cy="135483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563984</xdr:colOff>
      <xdr:row>12</xdr:row>
      <xdr:rowOff>34890</xdr:rowOff>
    </xdr:from>
    <xdr:to>
      <xdr:col>15</xdr:col>
      <xdr:colOff>0</xdr:colOff>
      <xdr:row>20</xdr:row>
      <xdr:rowOff>97692</xdr:rowOff>
    </xdr:to>
    <mc:AlternateContent xmlns:mc="http://schemas.openxmlformats.org/markup-compatibility/2006" xmlns:a14="http://schemas.microsoft.com/office/drawing/2010/main">
      <mc:Choice Requires="a14">
        <xdr:graphicFrame macro="">
          <xdr:nvGraphicFramePr>
            <xdr:cNvPr id="17" name="Booking Source">
              <a:extLst>
                <a:ext uri="{FF2B5EF4-FFF2-40B4-BE49-F238E27FC236}">
                  <a16:creationId xmlns:a16="http://schemas.microsoft.com/office/drawing/2014/main" id="{7EE01A8B-7A49-C0A7-F058-39CC60F8533F}"/>
                </a:ext>
              </a:extLst>
            </xdr:cNvPr>
            <xdr:cNvGraphicFramePr/>
          </xdr:nvGraphicFramePr>
          <xdr:xfrm>
            <a:off x="0" y="0"/>
            <a:ext cx="0" cy="0"/>
          </xdr:xfrm>
          <a:graphic>
            <a:graphicData uri="http://schemas.microsoft.com/office/drawing/2010/slicer">
              <sle:slicer xmlns:sle="http://schemas.microsoft.com/office/drawing/2010/slicer" name="Booking Source"/>
            </a:graphicData>
          </a:graphic>
        </xdr:graphicFrame>
      </mc:Choice>
      <mc:Fallback xmlns="">
        <xdr:sp macro="" textlink="">
          <xdr:nvSpPr>
            <xdr:cNvPr id="0" name=""/>
            <xdr:cNvSpPr>
              <a:spLocks noTextEdit="1"/>
            </xdr:cNvSpPr>
          </xdr:nvSpPr>
          <xdr:spPr>
            <a:xfrm>
              <a:off x="6015215" y="2262275"/>
              <a:ext cx="3070170" cy="1547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 refreshedDate="45768.004685069442" createdVersion="8" refreshedVersion="8" minRefreshableVersion="3" recordCount="366" xr:uid="{BD2B688E-E754-40DA-9B17-90F09CE895DC}">
  <cacheSource type="worksheet">
    <worksheetSource name="Table1"/>
  </cacheSource>
  <cacheFields count="18">
    <cacheField name="Booking ID" numFmtId="0">
      <sharedItems/>
    </cacheField>
    <cacheField name="Guest name " numFmtId="0">
      <sharedItems/>
    </cacheField>
    <cacheField name="Check-in 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4"/>
    </cacheField>
    <cacheField name="Check-out Date" numFmtId="14">
      <sharedItems containsSemiMixedTypes="0" containsNonDate="0" containsDate="1" containsString="0" minDate="2021-01-03T00:00:00" maxDate="2022-01-05T00:00:00" count="220">
        <d v="2021-01-06T00:00:00"/>
        <d v="2021-01-09T00:00:00"/>
        <d v="2021-01-08T00:00:00"/>
        <d v="2021-01-14T00:00:00"/>
        <d v="2021-01-11T00:00:00"/>
        <d v="2021-01-13T00:00:00"/>
        <d v="2021-01-19T00:00:00"/>
        <d v="2021-01-16T00:00:00"/>
        <d v="2021-01-18T00:00:00"/>
        <d v="2021-01-24T00:00:00"/>
        <d v="2021-01-21T00:00:00"/>
        <d v="2021-01-23T00:00:00"/>
        <d v="2021-01-29T00:00:00"/>
        <d v="2021-01-26T00:00:00"/>
        <d v="2021-01-28T00:00:00"/>
        <d v="2021-02-03T00:00:00"/>
        <d v="2021-01-31T00:00:00"/>
        <d v="2021-02-02T00:00:00"/>
        <d v="2021-02-08T00:00:00"/>
        <d v="2021-02-05T00:00:00"/>
        <d v="2021-02-07T00:00:00"/>
        <d v="2021-02-13T00:00:00"/>
        <d v="2021-02-10T00:00:00"/>
        <d v="2021-02-12T00:00:00"/>
        <d v="2021-02-18T00:00:00"/>
        <d v="2021-02-15T00:00:00"/>
        <d v="2021-02-17T00:00:00"/>
        <d v="2021-02-23T00:00:00"/>
        <d v="2021-02-20T00:00:00"/>
        <d v="2021-02-22T00:00:00"/>
        <d v="2021-02-28T00:00:00"/>
        <d v="2021-02-25T00:00:00"/>
        <d v="2021-02-27T00:00:00"/>
        <d v="2021-03-05T00:00:00"/>
        <d v="2021-03-02T00:00:00"/>
        <d v="2021-03-04T00:00:00"/>
        <d v="2021-03-10T00:00:00"/>
        <d v="2021-03-07T00:00:00"/>
        <d v="2021-03-09T00:00:00"/>
        <d v="2021-03-15T00:00:00"/>
        <d v="2021-03-12T00:00:00"/>
        <d v="2021-03-14T00:00:00"/>
        <d v="2021-03-20T00:00:00"/>
        <d v="2021-03-17T00:00:00"/>
        <d v="2021-03-19T00:00:00"/>
        <d v="2021-03-25T00:00:00"/>
        <d v="2021-03-22T00:00:00"/>
        <d v="2021-03-24T00:00:00"/>
        <d v="2021-03-30T00:00:00"/>
        <d v="2021-03-27T00:00:00"/>
        <d v="2021-03-29T00:00:00"/>
        <d v="2021-04-04T00:00:00"/>
        <d v="2021-04-01T00:00:00"/>
        <d v="2021-04-03T00:00:00"/>
        <d v="2021-04-09T00:00:00"/>
        <d v="2021-04-06T00:00:00"/>
        <d v="2021-04-08T00:00:00"/>
        <d v="2021-04-14T00:00:00"/>
        <d v="2021-04-11T00:00:00"/>
        <d v="2021-04-13T00:00:00"/>
        <d v="2021-04-19T00:00:00"/>
        <d v="2021-04-16T00:00:00"/>
        <d v="2021-04-18T00:00:00"/>
        <d v="2021-04-24T00:00:00"/>
        <d v="2021-04-21T00:00:00"/>
        <d v="2021-04-23T00:00:00"/>
        <d v="2021-04-29T00:00:00"/>
        <d v="2021-04-26T00:00:00"/>
        <d v="2021-04-28T00:00:00"/>
        <d v="2021-05-04T00:00:00"/>
        <d v="2021-05-01T00:00:00"/>
        <d v="2021-05-03T00:00:00"/>
        <d v="2021-05-09T00:00:00"/>
        <d v="2021-05-06T00:00:00"/>
        <d v="2021-05-08T00:00:00"/>
        <d v="2021-05-14T00:00:00"/>
        <d v="2021-05-11T00:00:00"/>
        <d v="2021-05-13T00:00:00"/>
        <d v="2021-05-19T00:00:00"/>
        <d v="2021-05-16T00:00:00"/>
        <d v="2021-05-18T00:00:00"/>
        <d v="2021-05-24T00:00:00"/>
        <d v="2021-05-21T00:00:00"/>
        <d v="2021-05-23T00:00:00"/>
        <d v="2021-05-29T00:00:00"/>
        <d v="2021-05-26T00:00:00"/>
        <d v="2021-05-28T00:00:00"/>
        <d v="2021-06-03T00:00:00"/>
        <d v="2021-05-31T00:00:00"/>
        <d v="2021-06-02T00:00:00"/>
        <d v="2021-06-08T00:00:00"/>
        <d v="2021-06-05T00:00:00"/>
        <d v="2021-06-07T00:00:00"/>
        <d v="2021-06-13T00:00:00"/>
        <d v="2021-06-10T00:00:00"/>
        <d v="2021-06-12T00:00:00"/>
        <d v="2021-06-18T00:00:00"/>
        <d v="2021-06-15T00:00:00"/>
        <d v="2021-06-17T00:00:00"/>
        <d v="2021-06-23T00:00:00"/>
        <d v="2021-06-20T00:00:00"/>
        <d v="2021-06-22T00:00:00"/>
        <d v="2021-06-28T00:00:00"/>
        <d v="2021-06-25T00:00:00"/>
        <d v="2021-06-27T00:00:00"/>
        <d v="2021-07-03T00:00:00"/>
        <d v="2021-06-30T00:00:00"/>
        <d v="2021-07-02T00:00:00"/>
        <d v="2021-07-08T00:00:00"/>
        <d v="2021-07-05T00:00:00"/>
        <d v="2021-07-07T00:00:00"/>
        <d v="2021-07-13T00:00:00"/>
        <d v="2021-07-10T00:00:00"/>
        <d v="2021-07-12T00:00:00"/>
        <d v="2021-07-18T00:00:00"/>
        <d v="2021-07-15T00:00:00"/>
        <d v="2021-07-17T00:00:00"/>
        <d v="2021-07-23T00:00:00"/>
        <d v="2021-07-20T00:00:00"/>
        <d v="2021-07-22T00:00:00"/>
        <d v="2021-07-28T00:00:00"/>
        <d v="2021-07-25T00:00:00"/>
        <d v="2021-07-27T00:00:00"/>
        <d v="2021-08-02T00:00:00"/>
        <d v="2021-07-30T00:00:00"/>
        <d v="2021-08-01T00:00:00"/>
        <d v="2021-08-07T00:00:00"/>
        <d v="2021-08-04T00:00:00"/>
        <d v="2021-08-06T00:00:00"/>
        <d v="2021-08-12T00:00:00"/>
        <d v="2021-08-09T00:00:00"/>
        <d v="2021-08-11T00:00:00"/>
        <d v="2021-08-17T00:00:00"/>
        <d v="2021-08-14T00:00:00"/>
        <d v="2021-08-16T00:00:00"/>
        <d v="2021-08-22T00:00:00"/>
        <d v="2021-08-19T00:00:00"/>
        <d v="2021-08-21T00:00:00"/>
        <d v="2021-08-27T00:00:00"/>
        <d v="2021-08-24T00:00:00"/>
        <d v="2021-08-26T00:00:00"/>
        <d v="2021-09-01T00:00:00"/>
        <d v="2021-08-29T00:00:00"/>
        <d v="2021-08-31T00:00:00"/>
        <d v="2021-09-06T00:00:00"/>
        <d v="2021-09-03T00:00:00"/>
        <d v="2021-09-05T00:00:00"/>
        <d v="2021-09-11T00:00:00"/>
        <d v="2021-09-08T00:00:00"/>
        <d v="2021-09-10T00:00:00"/>
        <d v="2021-09-16T00:00:00"/>
        <d v="2021-09-13T00:00:00"/>
        <d v="2021-09-15T00:00:00"/>
        <d v="2021-09-21T00:00:00"/>
        <d v="2021-09-18T00:00:00"/>
        <d v="2021-09-20T00:00:00"/>
        <d v="2021-09-26T00:00:00"/>
        <d v="2021-09-23T00:00:00"/>
        <d v="2021-09-25T00:00:00"/>
        <d v="2021-10-01T00:00:00"/>
        <d v="2021-09-28T00:00:00"/>
        <d v="2021-09-30T00:00:00"/>
        <d v="2021-10-06T00:00:00"/>
        <d v="2021-10-03T00:00:00"/>
        <d v="2021-10-05T00:00:00"/>
        <d v="2021-10-11T00:00:00"/>
        <d v="2021-10-08T00:00:00"/>
        <d v="2021-10-10T00:00:00"/>
        <d v="2021-10-16T00:00:00"/>
        <d v="2021-10-13T00:00:00"/>
        <d v="2021-10-15T00:00:00"/>
        <d v="2021-10-21T00:00:00"/>
        <d v="2021-10-18T00:00:00"/>
        <d v="2021-10-20T00:00:00"/>
        <d v="2021-10-26T00:00:00"/>
        <d v="2021-10-23T00:00:00"/>
        <d v="2021-10-25T00:00:00"/>
        <d v="2021-10-31T00:00:00"/>
        <d v="2021-10-28T00:00:00"/>
        <d v="2021-10-30T00:00:00"/>
        <d v="2021-11-05T00:00:00"/>
        <d v="2021-11-02T00:00:00"/>
        <d v="2021-11-04T00:00:00"/>
        <d v="2021-11-10T00:00:00"/>
        <d v="2021-11-07T00:00:00"/>
        <d v="2021-11-09T00:00:00"/>
        <d v="2021-11-15T00:00:00"/>
        <d v="2021-11-12T00:00:00"/>
        <d v="2021-11-14T00:00:00"/>
        <d v="2021-11-20T00:00:00"/>
        <d v="2021-11-17T00:00:00"/>
        <d v="2021-11-19T00:00:00"/>
        <d v="2021-11-25T00:00:00"/>
        <d v="2021-11-22T00:00:00"/>
        <d v="2021-11-24T00:00:00"/>
        <d v="2021-11-30T00:00:00"/>
        <d v="2021-11-27T00:00:00"/>
        <d v="2021-11-29T00:00:00"/>
        <d v="2021-12-05T00:00:00"/>
        <d v="2021-12-02T00:00:00"/>
        <d v="2021-12-04T00:00:00"/>
        <d v="2021-12-10T00:00:00"/>
        <d v="2021-12-07T00:00:00"/>
        <d v="2021-12-09T00:00:00"/>
        <d v="2021-12-15T00:00:00"/>
        <d v="2021-12-12T00:00:00"/>
        <d v="2021-12-14T00:00:00"/>
        <d v="2021-12-20T00:00:00"/>
        <d v="2021-12-17T00:00:00"/>
        <d v="2021-12-19T00:00:00"/>
        <d v="2021-12-25T00:00:00"/>
        <d v="2021-12-22T00:00:00"/>
        <d v="2021-12-24T00:00:00"/>
        <d v="2021-12-30T00:00:00"/>
        <d v="2021-12-27T00:00:00"/>
        <d v="2021-12-29T00:00:00"/>
        <d v="2022-01-04T00:00:00"/>
        <d v="2022-01-01T00:00:00"/>
        <d v="2022-01-03T00:00:00"/>
        <d v="2021-01-03T00:00:00" u="1"/>
      </sharedItems>
      <fieldGroup par="17"/>
    </cacheField>
    <cacheField name="Duration" numFmtId="0">
      <sharedItems containsSemiMixedTypes="0" containsString="0" containsNumber="1" containsInteger="1" minValue="1" maxValue="7"/>
    </cacheField>
    <cacheField name="Room type" numFmtId="0">
      <sharedItems count="4">
        <s v="Double"/>
        <s v="Single"/>
        <s v="Suite"/>
        <s v="Deluxe"/>
      </sharedItems>
    </cacheField>
    <cacheField name="Room Number" numFmtId="0">
      <sharedItems containsSemiMixedTypes="0" containsString="0" containsNumber="1" minValue="101" maxValue="400"/>
    </cacheField>
    <cacheField name="Booking Source" numFmtId="0">
      <sharedItems count="3">
        <s v="Website"/>
        <s v="Walk-in"/>
        <s v="Agent"/>
      </sharedItems>
    </cacheField>
    <cacheField name="Revenue" numFmtId="1">
      <sharedItems containsSemiMixedTypes="0" containsString="0" containsNumber="1" containsInteger="1" minValue="190" maxValue="2100"/>
    </cacheField>
    <cacheField name=" Status" numFmtId="0">
      <sharedItems count="3">
        <s v="Confirmed"/>
        <s v="No-show"/>
        <s v="Cancelled"/>
      </sharedItems>
    </cacheField>
    <cacheField name="Country" numFmtId="0">
      <sharedItems count="8">
        <s v="USA"/>
        <s v="India"/>
        <s v="UAE"/>
        <s v="UK"/>
        <s v="China"/>
        <s v="Mexico"/>
        <s v="Australia"/>
        <s v="South Korea"/>
      </sharedItems>
    </cacheField>
    <cacheField name="Payment Mode" numFmtId="0">
      <sharedItems/>
    </cacheField>
    <cacheField name="Months (Check-in date)" numFmtId="0" databaseField="0">
      <fieldGroup base="2">
        <rangePr groupBy="months" startDate="2021-01-01T00:00:00" endDate="2022-01-02T00:00:00"/>
        <groupItems count="14">
          <s v="&lt;01-01-2021"/>
          <s v="Jan"/>
          <s v="Feb"/>
          <s v="Mar"/>
          <s v="Apr"/>
          <s v="May"/>
          <s v="Jun"/>
          <s v="Jul"/>
          <s v="Aug"/>
          <s v="Sep"/>
          <s v="Oct"/>
          <s v="Nov"/>
          <s v="Dec"/>
          <s v="&gt;02-01-2022"/>
        </groupItems>
      </fieldGroup>
    </cacheField>
    <cacheField name="Quarters (Check-in date)" numFmtId="0" databaseField="0">
      <fieldGroup base="2">
        <rangePr groupBy="quarters" startDate="2021-01-01T00:00:00" endDate="2022-01-02T00:00:00"/>
        <groupItems count="6">
          <s v="&lt;01-01-2021"/>
          <s v="Qtr1"/>
          <s v="Qtr2"/>
          <s v="Qtr3"/>
          <s v="Qtr4"/>
          <s v="&gt;02-01-2022"/>
        </groupItems>
      </fieldGroup>
    </cacheField>
    <cacheField name="Years (Check-in date)" numFmtId="0" databaseField="0">
      <fieldGroup base="2">
        <rangePr groupBy="years" startDate="2021-01-01T00:00:00" endDate="2022-01-02T00:00:00"/>
        <groupItems count="4">
          <s v="&lt;01-01-2021"/>
          <s v="2021"/>
          <s v="2022"/>
          <s v="&gt;02-01-2022"/>
        </groupItems>
      </fieldGroup>
    </cacheField>
    <cacheField name="Months (Check-out Date)" numFmtId="0" databaseField="0">
      <fieldGroup base="3">
        <rangePr groupBy="months" startDate="2021-01-06T00:00:00" endDate="2022-01-05T00:00:00"/>
        <groupItems count="14">
          <s v="&lt;06-01-2021"/>
          <s v="Jan"/>
          <s v="Feb"/>
          <s v="Mar"/>
          <s v="Apr"/>
          <s v="May"/>
          <s v="Jun"/>
          <s v="Jul"/>
          <s v="Aug"/>
          <s v="Sep"/>
          <s v="Oct"/>
          <s v="Nov"/>
          <s v="Dec"/>
          <s v="&gt;05-01-2022"/>
        </groupItems>
      </fieldGroup>
    </cacheField>
    <cacheField name="Quarters (Check-out Date)" numFmtId="0" databaseField="0">
      <fieldGroup base="3">
        <rangePr groupBy="quarters" startDate="2021-01-06T00:00:00" endDate="2022-01-05T00:00:00"/>
        <groupItems count="6">
          <s v="&lt;06-01-2021"/>
          <s v="Qtr1"/>
          <s v="Qtr2"/>
          <s v="Qtr3"/>
          <s v="Qtr4"/>
          <s v="&gt;05-01-2022"/>
        </groupItems>
      </fieldGroup>
    </cacheField>
    <cacheField name="Years (Check-out Date)" numFmtId="0" databaseField="0">
      <fieldGroup base="3">
        <rangePr groupBy="years" startDate="2021-01-06T00:00:00" endDate="2022-01-05T00:00:00"/>
        <groupItems count="4">
          <s v="&lt;06-01-2021"/>
          <s v="2021"/>
          <s v="2022"/>
          <s v="&gt;05-01-2022"/>
        </groupItems>
      </fieldGroup>
    </cacheField>
  </cacheFields>
  <extLst>
    <ext xmlns:x14="http://schemas.microsoft.com/office/spreadsheetml/2009/9/main" uri="{725AE2AE-9491-48be-B2B4-4EB974FC3084}">
      <x14:pivotCacheDefinition pivotCacheId="1338048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s v="B001"/>
    <s v="Ajit Kumar"/>
    <x v="0"/>
    <x v="0"/>
    <n v="5"/>
    <x v="0"/>
    <n v="101"/>
    <x v="0"/>
    <n v="210"/>
    <x v="0"/>
    <x v="0"/>
    <s v="Cash"/>
  </r>
  <r>
    <s v="B002"/>
    <s v="Rohit Das"/>
    <x v="1"/>
    <x v="1"/>
    <n v="7"/>
    <x v="1"/>
    <n v="102"/>
    <x v="1"/>
    <n v="2100"/>
    <x v="0"/>
    <x v="1"/>
    <s v="Credit Card"/>
  </r>
  <r>
    <s v="B003"/>
    <s v="Ramesh"/>
    <x v="2"/>
    <x v="0"/>
    <n v="3"/>
    <x v="0"/>
    <n v="201"/>
    <x v="2"/>
    <n v="1200"/>
    <x v="0"/>
    <x v="2"/>
    <s v="Debit Card"/>
  </r>
  <r>
    <s v="B004"/>
    <s v="Amit"/>
    <x v="3"/>
    <x v="2"/>
    <n v="4"/>
    <x v="1"/>
    <n v="103"/>
    <x v="1"/>
    <n v="1500"/>
    <x v="0"/>
    <x v="3"/>
    <s v="Cash"/>
  </r>
  <r>
    <s v="B005"/>
    <s v="Chandu"/>
    <x v="4"/>
    <x v="0"/>
    <n v="1"/>
    <x v="0"/>
    <n v="104"/>
    <x v="2"/>
    <n v="300"/>
    <x v="0"/>
    <x v="4"/>
    <s v="Credit Card"/>
  </r>
  <r>
    <s v="B006"/>
    <s v="Siddhu"/>
    <x v="5"/>
    <x v="2"/>
    <n v="2"/>
    <x v="0"/>
    <n v="202"/>
    <x v="0"/>
    <n v="190"/>
    <x v="0"/>
    <x v="5"/>
    <s v="Debit Card"/>
  </r>
  <r>
    <s v="B007"/>
    <s v="Ajit Kumar"/>
    <x v="6"/>
    <x v="3"/>
    <n v="7"/>
    <x v="0"/>
    <n v="105"/>
    <x v="0"/>
    <n v="210"/>
    <x v="0"/>
    <x v="6"/>
    <s v="Cash"/>
  </r>
  <r>
    <s v="B008"/>
    <s v="Rohit Das"/>
    <x v="7"/>
    <x v="4"/>
    <n v="3"/>
    <x v="1"/>
    <n v="203"/>
    <x v="1"/>
    <n v="2100"/>
    <x v="0"/>
    <x v="7"/>
    <s v="Credit Card"/>
  </r>
  <r>
    <s v="B009"/>
    <s v="Ramesh"/>
    <x v="8"/>
    <x v="5"/>
    <n v="4"/>
    <x v="1"/>
    <n v="106"/>
    <x v="2"/>
    <n v="1200"/>
    <x v="0"/>
    <x v="1"/>
    <s v="Debit Card"/>
  </r>
  <r>
    <s v="B010"/>
    <s v="Amit"/>
    <x v="9"/>
    <x v="4"/>
    <n v="1"/>
    <x v="0"/>
    <n v="108"/>
    <x v="1"/>
    <n v="1500"/>
    <x v="0"/>
    <x v="0"/>
    <s v="Cash"/>
  </r>
  <r>
    <s v="B011"/>
    <s v="Chandu"/>
    <x v="10"/>
    <x v="5"/>
    <n v="2"/>
    <x v="0"/>
    <n v="140.333333333333"/>
    <x v="2"/>
    <n v="300"/>
    <x v="0"/>
    <x v="0"/>
    <s v="Credit Card"/>
  </r>
  <r>
    <s v="B012"/>
    <s v="Siddhu"/>
    <x v="11"/>
    <x v="6"/>
    <n v="7"/>
    <x v="1"/>
    <n v="141.57575757575799"/>
    <x v="0"/>
    <n v="190"/>
    <x v="1"/>
    <x v="1"/>
    <s v="Debit Card"/>
  </r>
  <r>
    <s v="B013"/>
    <s v="Siddhu"/>
    <x v="12"/>
    <x v="7"/>
    <n v="3"/>
    <x v="0"/>
    <n v="142.81818181818201"/>
    <x v="0"/>
    <n v="210"/>
    <x v="2"/>
    <x v="2"/>
    <s v="Cash"/>
  </r>
  <r>
    <s v="B014"/>
    <s v="Ajit Kumar"/>
    <x v="13"/>
    <x v="8"/>
    <n v="4"/>
    <x v="0"/>
    <n v="144.06060606060601"/>
    <x v="1"/>
    <n v="2100"/>
    <x v="1"/>
    <x v="3"/>
    <s v="Credit Card"/>
  </r>
  <r>
    <s v="B015"/>
    <s v="Rohit Das"/>
    <x v="14"/>
    <x v="7"/>
    <n v="1"/>
    <x v="0"/>
    <n v="145.30303030303"/>
    <x v="2"/>
    <n v="1200"/>
    <x v="1"/>
    <x v="4"/>
    <s v="Debit Card"/>
  </r>
  <r>
    <s v="B016"/>
    <s v="Ramesh"/>
    <x v="15"/>
    <x v="8"/>
    <n v="2"/>
    <x v="0"/>
    <n v="146.54545454545499"/>
    <x v="1"/>
    <n v="1500"/>
    <x v="1"/>
    <x v="5"/>
    <s v="Cash"/>
  </r>
  <r>
    <s v="B017"/>
    <s v="Amit"/>
    <x v="16"/>
    <x v="9"/>
    <n v="7"/>
    <x v="0"/>
    <n v="147.78787878787901"/>
    <x v="2"/>
    <n v="300"/>
    <x v="1"/>
    <x v="6"/>
    <s v="Credit Card"/>
  </r>
  <r>
    <s v="B018"/>
    <s v="Chandu"/>
    <x v="17"/>
    <x v="10"/>
    <n v="3"/>
    <x v="0"/>
    <n v="149.030303030303"/>
    <x v="0"/>
    <n v="190"/>
    <x v="1"/>
    <x v="7"/>
    <s v="Debit Card"/>
  </r>
  <r>
    <s v="B019"/>
    <s v="Siddhu"/>
    <x v="18"/>
    <x v="11"/>
    <n v="4"/>
    <x v="0"/>
    <n v="105"/>
    <x v="0"/>
    <n v="210"/>
    <x v="1"/>
    <x v="1"/>
    <s v="Cash"/>
  </r>
  <r>
    <s v="B020"/>
    <s v="Ajit Kumar"/>
    <x v="19"/>
    <x v="10"/>
    <n v="1"/>
    <x v="0"/>
    <n v="106"/>
    <x v="2"/>
    <n v="2100"/>
    <x v="1"/>
    <x v="0"/>
    <s v="Credit Card"/>
  </r>
  <r>
    <s v="B021"/>
    <s v="Rohit Das"/>
    <x v="20"/>
    <x v="11"/>
    <n v="2"/>
    <x v="1"/>
    <n v="107"/>
    <x v="1"/>
    <n v="1200"/>
    <x v="1"/>
    <x v="0"/>
    <s v="Debit Card"/>
  </r>
  <r>
    <s v="B022"/>
    <s v="Ramesh"/>
    <x v="21"/>
    <x v="12"/>
    <n v="7"/>
    <x v="0"/>
    <n v="108"/>
    <x v="2"/>
    <n v="300"/>
    <x v="1"/>
    <x v="1"/>
    <s v="Cash"/>
  </r>
  <r>
    <s v="B023"/>
    <s v="Amit"/>
    <x v="22"/>
    <x v="13"/>
    <n v="3"/>
    <x v="1"/>
    <n v="109"/>
    <x v="0"/>
    <n v="200"/>
    <x v="1"/>
    <x v="2"/>
    <s v="Credit Card"/>
  </r>
  <r>
    <s v="B024"/>
    <s v="Chandu"/>
    <x v="23"/>
    <x v="14"/>
    <n v="4"/>
    <x v="0"/>
    <n v="110"/>
    <x v="0"/>
    <n v="190"/>
    <x v="1"/>
    <x v="3"/>
    <s v="Debit Card"/>
  </r>
  <r>
    <s v="B025"/>
    <s v="Siddhu"/>
    <x v="24"/>
    <x v="13"/>
    <n v="1"/>
    <x v="0"/>
    <n v="111"/>
    <x v="1"/>
    <n v="2100"/>
    <x v="1"/>
    <x v="4"/>
    <s v="Cash"/>
  </r>
  <r>
    <s v="B026"/>
    <s v="Siddhu"/>
    <x v="25"/>
    <x v="14"/>
    <n v="2"/>
    <x v="0"/>
    <n v="112"/>
    <x v="0"/>
    <n v="210"/>
    <x v="1"/>
    <x v="5"/>
    <s v="Credit Card"/>
  </r>
  <r>
    <s v="B027"/>
    <s v="Ajit Kumar"/>
    <x v="26"/>
    <x v="15"/>
    <n v="7"/>
    <x v="0"/>
    <n v="113"/>
    <x v="1"/>
    <n v="2100"/>
    <x v="1"/>
    <x v="6"/>
    <s v="Debit Card"/>
  </r>
  <r>
    <s v="B028"/>
    <s v="Ajit Kumar"/>
    <x v="27"/>
    <x v="16"/>
    <n v="3"/>
    <x v="1"/>
    <n v="114"/>
    <x v="0"/>
    <n v="210"/>
    <x v="1"/>
    <x v="7"/>
    <s v="Cash"/>
  </r>
  <r>
    <s v="B029"/>
    <s v="Ajit Kumar"/>
    <x v="28"/>
    <x v="17"/>
    <n v="4"/>
    <x v="2"/>
    <n v="115"/>
    <x v="0"/>
    <n v="210"/>
    <x v="1"/>
    <x v="1"/>
    <s v="Credit Card"/>
  </r>
  <r>
    <s v="B030"/>
    <s v="Ajit Kumar"/>
    <x v="29"/>
    <x v="16"/>
    <n v="1"/>
    <x v="3"/>
    <n v="116"/>
    <x v="0"/>
    <n v="210"/>
    <x v="1"/>
    <x v="0"/>
    <s v="Debit Card"/>
  </r>
  <r>
    <s v="B031"/>
    <s v="Ajit Kumar"/>
    <x v="30"/>
    <x v="17"/>
    <n v="2"/>
    <x v="0"/>
    <n v="117"/>
    <x v="0"/>
    <n v="210"/>
    <x v="1"/>
    <x v="0"/>
    <s v="Cash"/>
  </r>
  <r>
    <s v="B032"/>
    <s v="Ajit Kumar"/>
    <x v="31"/>
    <x v="18"/>
    <n v="7"/>
    <x v="1"/>
    <n v="118"/>
    <x v="0"/>
    <n v="210"/>
    <x v="1"/>
    <x v="1"/>
    <s v="Credit Card"/>
  </r>
  <r>
    <s v="B033"/>
    <s v="Ajit Kumar"/>
    <x v="32"/>
    <x v="19"/>
    <n v="3"/>
    <x v="2"/>
    <n v="119"/>
    <x v="0"/>
    <n v="210"/>
    <x v="1"/>
    <x v="2"/>
    <s v="Debit Card"/>
  </r>
  <r>
    <s v="B034"/>
    <s v="Ajit Kumar"/>
    <x v="33"/>
    <x v="20"/>
    <n v="4"/>
    <x v="3"/>
    <n v="120"/>
    <x v="0"/>
    <n v="210"/>
    <x v="1"/>
    <x v="3"/>
    <s v="Cash"/>
  </r>
  <r>
    <s v="B035"/>
    <s v="Rohit Das"/>
    <x v="34"/>
    <x v="19"/>
    <n v="1"/>
    <x v="1"/>
    <n v="121"/>
    <x v="0"/>
    <n v="210"/>
    <x v="1"/>
    <x v="4"/>
    <s v="Credit Card"/>
  </r>
  <r>
    <s v="B036"/>
    <s v="Rohit Das"/>
    <x v="35"/>
    <x v="20"/>
    <n v="2"/>
    <x v="0"/>
    <n v="122"/>
    <x v="0"/>
    <n v="210"/>
    <x v="1"/>
    <x v="5"/>
    <s v="Debit Card"/>
  </r>
  <r>
    <s v="B037"/>
    <s v="Rohit Das"/>
    <x v="36"/>
    <x v="21"/>
    <n v="7"/>
    <x v="2"/>
    <n v="123"/>
    <x v="0"/>
    <n v="190"/>
    <x v="1"/>
    <x v="6"/>
    <s v="Cash"/>
  </r>
  <r>
    <s v="B038"/>
    <s v="Rohit Das"/>
    <x v="37"/>
    <x v="22"/>
    <n v="3"/>
    <x v="3"/>
    <n v="124"/>
    <x v="0"/>
    <n v="210"/>
    <x v="1"/>
    <x v="7"/>
    <s v="Credit Card"/>
  </r>
  <r>
    <s v="B039"/>
    <s v="Rohit Das"/>
    <x v="38"/>
    <x v="23"/>
    <n v="4"/>
    <x v="1"/>
    <n v="125"/>
    <x v="1"/>
    <n v="2100"/>
    <x v="1"/>
    <x v="1"/>
    <s v="Debit Card"/>
  </r>
  <r>
    <s v="B040"/>
    <s v="Rohit Das"/>
    <x v="39"/>
    <x v="22"/>
    <n v="1"/>
    <x v="0"/>
    <n v="126"/>
    <x v="2"/>
    <n v="1200"/>
    <x v="1"/>
    <x v="0"/>
    <s v="Cash"/>
  </r>
  <r>
    <s v="B041"/>
    <s v="Rohit Das"/>
    <x v="40"/>
    <x v="23"/>
    <n v="2"/>
    <x v="2"/>
    <n v="127"/>
    <x v="1"/>
    <n v="2100"/>
    <x v="1"/>
    <x v="0"/>
    <s v="Credit Card"/>
  </r>
  <r>
    <s v="B042"/>
    <s v="Rohit Das"/>
    <x v="41"/>
    <x v="24"/>
    <n v="7"/>
    <x v="3"/>
    <n v="128"/>
    <x v="1"/>
    <n v="2100"/>
    <x v="1"/>
    <x v="1"/>
    <s v="Debit Card"/>
  </r>
  <r>
    <s v="B043"/>
    <s v="Ramesh"/>
    <x v="42"/>
    <x v="25"/>
    <n v="3"/>
    <x v="3"/>
    <n v="129"/>
    <x v="1"/>
    <n v="2100"/>
    <x v="1"/>
    <x v="2"/>
    <s v="Cash"/>
  </r>
  <r>
    <s v="B044"/>
    <s v="Amit"/>
    <x v="43"/>
    <x v="26"/>
    <n v="4"/>
    <x v="3"/>
    <n v="130"/>
    <x v="1"/>
    <n v="2100"/>
    <x v="1"/>
    <x v="3"/>
    <s v="Credit Card"/>
  </r>
  <r>
    <s v="B045"/>
    <s v="Chandu"/>
    <x v="44"/>
    <x v="25"/>
    <n v="1"/>
    <x v="3"/>
    <n v="131"/>
    <x v="1"/>
    <n v="2100"/>
    <x v="1"/>
    <x v="4"/>
    <s v="Debit Card"/>
  </r>
  <r>
    <s v="B046"/>
    <s v="Siddhu"/>
    <x v="45"/>
    <x v="26"/>
    <n v="2"/>
    <x v="3"/>
    <n v="132"/>
    <x v="1"/>
    <n v="2100"/>
    <x v="1"/>
    <x v="5"/>
    <s v="Cash"/>
  </r>
  <r>
    <s v="B047"/>
    <s v="Siddhu"/>
    <x v="46"/>
    <x v="27"/>
    <n v="7"/>
    <x v="0"/>
    <n v="133"/>
    <x v="1"/>
    <n v="2100"/>
    <x v="1"/>
    <x v="6"/>
    <s v="Credit Card"/>
  </r>
  <r>
    <s v="B048"/>
    <s v="Siddhu"/>
    <x v="47"/>
    <x v="28"/>
    <n v="3"/>
    <x v="1"/>
    <n v="134"/>
    <x v="1"/>
    <n v="2100"/>
    <x v="1"/>
    <x v="7"/>
    <s v="Debit Card"/>
  </r>
  <r>
    <s v="B049"/>
    <s v="Siddhu"/>
    <x v="48"/>
    <x v="29"/>
    <n v="4"/>
    <x v="2"/>
    <n v="135"/>
    <x v="1"/>
    <n v="2100"/>
    <x v="1"/>
    <x v="1"/>
    <s v="Cash"/>
  </r>
  <r>
    <s v="B050"/>
    <s v="Siddhu"/>
    <x v="49"/>
    <x v="28"/>
    <n v="1"/>
    <x v="3"/>
    <n v="136"/>
    <x v="1"/>
    <n v="2100"/>
    <x v="1"/>
    <x v="0"/>
    <s v="Credit Card"/>
  </r>
  <r>
    <s v="B051"/>
    <s v="Siddhu"/>
    <x v="50"/>
    <x v="29"/>
    <n v="2"/>
    <x v="0"/>
    <n v="137"/>
    <x v="0"/>
    <n v="210"/>
    <x v="1"/>
    <x v="0"/>
    <s v="Debit Card"/>
  </r>
  <r>
    <s v="B052"/>
    <s v="Siddhu"/>
    <x v="51"/>
    <x v="30"/>
    <n v="7"/>
    <x v="1"/>
    <n v="138"/>
    <x v="1"/>
    <n v="2100"/>
    <x v="1"/>
    <x v="1"/>
    <s v="Cash"/>
  </r>
  <r>
    <s v="B053"/>
    <s v="Siddhu"/>
    <x v="52"/>
    <x v="31"/>
    <n v="3"/>
    <x v="2"/>
    <n v="139"/>
    <x v="2"/>
    <n v="1200"/>
    <x v="1"/>
    <x v="2"/>
    <s v="Credit Card"/>
  </r>
  <r>
    <s v="B054"/>
    <s v="Siddhu"/>
    <x v="53"/>
    <x v="32"/>
    <n v="4"/>
    <x v="3"/>
    <n v="140"/>
    <x v="1"/>
    <n v="1500"/>
    <x v="1"/>
    <x v="3"/>
    <s v="Debit Card"/>
  </r>
  <r>
    <s v="B055"/>
    <s v="Ajit Kumar"/>
    <x v="54"/>
    <x v="31"/>
    <n v="1"/>
    <x v="0"/>
    <n v="141"/>
    <x v="2"/>
    <n v="300"/>
    <x v="1"/>
    <x v="4"/>
    <s v="Cash"/>
  </r>
  <r>
    <s v="B056"/>
    <s v="Rohit Das"/>
    <x v="55"/>
    <x v="32"/>
    <n v="2"/>
    <x v="1"/>
    <n v="142"/>
    <x v="0"/>
    <n v="190"/>
    <x v="1"/>
    <x v="5"/>
    <s v="Credit Card"/>
  </r>
  <r>
    <s v="B057"/>
    <s v="Ramesh"/>
    <x v="56"/>
    <x v="33"/>
    <n v="7"/>
    <x v="0"/>
    <n v="143"/>
    <x v="0"/>
    <n v="210"/>
    <x v="1"/>
    <x v="6"/>
    <s v="Debit Card"/>
  </r>
  <r>
    <s v="B058"/>
    <s v="Amit"/>
    <x v="57"/>
    <x v="34"/>
    <n v="3"/>
    <x v="1"/>
    <n v="144"/>
    <x v="1"/>
    <n v="2100"/>
    <x v="1"/>
    <x v="7"/>
    <s v="Cash"/>
  </r>
  <r>
    <s v="B059"/>
    <s v="Chandu"/>
    <x v="58"/>
    <x v="35"/>
    <n v="4"/>
    <x v="0"/>
    <n v="145"/>
    <x v="2"/>
    <n v="1200"/>
    <x v="1"/>
    <x v="1"/>
    <s v="Credit Card"/>
  </r>
  <r>
    <s v="B060"/>
    <s v="Siddhu"/>
    <x v="59"/>
    <x v="34"/>
    <n v="1"/>
    <x v="0"/>
    <n v="146"/>
    <x v="1"/>
    <n v="1500"/>
    <x v="1"/>
    <x v="0"/>
    <s v="Debit Card"/>
  </r>
  <r>
    <s v="B061"/>
    <s v="Ajit Kumar"/>
    <x v="60"/>
    <x v="35"/>
    <n v="2"/>
    <x v="0"/>
    <n v="147"/>
    <x v="2"/>
    <n v="300"/>
    <x v="1"/>
    <x v="0"/>
    <s v="Cash"/>
  </r>
  <r>
    <s v="B062"/>
    <s v="Rohit Das"/>
    <x v="61"/>
    <x v="36"/>
    <n v="7"/>
    <x v="1"/>
    <n v="148"/>
    <x v="0"/>
    <n v="190"/>
    <x v="1"/>
    <x v="1"/>
    <s v="Credit Card"/>
  </r>
  <r>
    <s v="B063"/>
    <s v="Ramesh"/>
    <x v="62"/>
    <x v="37"/>
    <n v="3"/>
    <x v="1"/>
    <n v="149"/>
    <x v="0"/>
    <n v="210"/>
    <x v="1"/>
    <x v="2"/>
    <s v="Debit Card"/>
  </r>
  <r>
    <s v="B064"/>
    <s v="Amit"/>
    <x v="63"/>
    <x v="38"/>
    <n v="4"/>
    <x v="0"/>
    <n v="150"/>
    <x v="1"/>
    <n v="2100"/>
    <x v="1"/>
    <x v="3"/>
    <s v="Cash"/>
  </r>
  <r>
    <s v="B065"/>
    <s v="Chandu"/>
    <x v="64"/>
    <x v="37"/>
    <n v="1"/>
    <x v="0"/>
    <n v="151"/>
    <x v="2"/>
    <n v="1200"/>
    <x v="1"/>
    <x v="4"/>
    <s v="Credit Card"/>
  </r>
  <r>
    <s v="B066"/>
    <s v="Siddhu"/>
    <x v="65"/>
    <x v="38"/>
    <n v="2"/>
    <x v="1"/>
    <n v="152"/>
    <x v="1"/>
    <n v="1500"/>
    <x v="1"/>
    <x v="5"/>
    <s v="Debit Card"/>
  </r>
  <r>
    <s v="B067"/>
    <s v="Siddhu"/>
    <x v="66"/>
    <x v="39"/>
    <n v="7"/>
    <x v="0"/>
    <n v="153"/>
    <x v="2"/>
    <n v="300"/>
    <x v="1"/>
    <x v="6"/>
    <s v="Cash"/>
  </r>
  <r>
    <s v="B068"/>
    <s v="Ajit Kumar"/>
    <x v="67"/>
    <x v="40"/>
    <n v="3"/>
    <x v="0"/>
    <n v="154"/>
    <x v="0"/>
    <n v="190"/>
    <x v="1"/>
    <x v="7"/>
    <s v="Credit Card"/>
  </r>
  <r>
    <s v="B069"/>
    <s v="Rohit Das"/>
    <x v="68"/>
    <x v="41"/>
    <n v="4"/>
    <x v="0"/>
    <n v="155"/>
    <x v="0"/>
    <n v="210"/>
    <x v="1"/>
    <x v="1"/>
    <s v="Debit Card"/>
  </r>
  <r>
    <s v="B070"/>
    <s v="Ramesh"/>
    <x v="69"/>
    <x v="40"/>
    <n v="1"/>
    <x v="0"/>
    <n v="156"/>
    <x v="0"/>
    <n v="190"/>
    <x v="1"/>
    <x v="0"/>
    <s v="Cash"/>
  </r>
  <r>
    <s v="B071"/>
    <s v="Amit"/>
    <x v="70"/>
    <x v="41"/>
    <n v="2"/>
    <x v="0"/>
    <n v="157"/>
    <x v="0"/>
    <n v="210"/>
    <x v="1"/>
    <x v="0"/>
    <s v="Credit Card"/>
  </r>
  <r>
    <s v="B072"/>
    <s v="Chandu"/>
    <x v="71"/>
    <x v="42"/>
    <n v="7"/>
    <x v="0"/>
    <n v="158"/>
    <x v="0"/>
    <n v="190"/>
    <x v="0"/>
    <x v="1"/>
    <s v="Debit Card"/>
  </r>
  <r>
    <s v="B073"/>
    <s v="Siddhu"/>
    <x v="72"/>
    <x v="43"/>
    <n v="3"/>
    <x v="0"/>
    <n v="159"/>
    <x v="0"/>
    <n v="210"/>
    <x v="0"/>
    <x v="2"/>
    <s v="Cash"/>
  </r>
  <r>
    <s v="B074"/>
    <s v="Ajit Kumar"/>
    <x v="73"/>
    <x v="44"/>
    <n v="4"/>
    <x v="0"/>
    <n v="160"/>
    <x v="0"/>
    <n v="190"/>
    <x v="0"/>
    <x v="3"/>
    <s v="Credit Card"/>
  </r>
  <r>
    <s v="B075"/>
    <s v="Rohit Das"/>
    <x v="74"/>
    <x v="43"/>
    <n v="1"/>
    <x v="1"/>
    <n v="161"/>
    <x v="0"/>
    <n v="210"/>
    <x v="0"/>
    <x v="4"/>
    <s v="Debit Card"/>
  </r>
  <r>
    <s v="B076"/>
    <s v="Ramesh"/>
    <x v="75"/>
    <x v="44"/>
    <n v="2"/>
    <x v="0"/>
    <n v="162"/>
    <x v="0"/>
    <n v="190"/>
    <x v="0"/>
    <x v="5"/>
    <s v="Cash"/>
  </r>
  <r>
    <s v="B077"/>
    <s v="Amit"/>
    <x v="76"/>
    <x v="45"/>
    <n v="7"/>
    <x v="1"/>
    <n v="163"/>
    <x v="0"/>
    <n v="210"/>
    <x v="0"/>
    <x v="6"/>
    <s v="Credit Card"/>
  </r>
  <r>
    <s v="B078"/>
    <s v="Chandu"/>
    <x v="77"/>
    <x v="46"/>
    <n v="3"/>
    <x v="0"/>
    <n v="164"/>
    <x v="2"/>
    <n v="1200"/>
    <x v="0"/>
    <x v="7"/>
    <s v="Debit Card"/>
  </r>
  <r>
    <s v="B079"/>
    <s v="Siddhu"/>
    <x v="78"/>
    <x v="47"/>
    <n v="4"/>
    <x v="0"/>
    <n v="165"/>
    <x v="1"/>
    <n v="1500"/>
    <x v="0"/>
    <x v="1"/>
    <s v="Cash"/>
  </r>
  <r>
    <s v="B080"/>
    <s v="Siddhu"/>
    <x v="79"/>
    <x v="46"/>
    <n v="1"/>
    <x v="0"/>
    <n v="166"/>
    <x v="2"/>
    <n v="300"/>
    <x v="0"/>
    <x v="0"/>
    <s v="Credit Card"/>
  </r>
  <r>
    <s v="B081"/>
    <s v="Ajit Kumar"/>
    <x v="80"/>
    <x v="47"/>
    <n v="2"/>
    <x v="0"/>
    <n v="167"/>
    <x v="0"/>
    <n v="190"/>
    <x v="0"/>
    <x v="0"/>
    <s v="Debit Card"/>
  </r>
  <r>
    <s v="B082"/>
    <s v="Ajit Kumar"/>
    <x v="81"/>
    <x v="48"/>
    <n v="7"/>
    <x v="1"/>
    <n v="168"/>
    <x v="0"/>
    <n v="210"/>
    <x v="0"/>
    <x v="1"/>
    <s v="Cash"/>
  </r>
  <r>
    <s v="B083"/>
    <s v="Ajit Kumar"/>
    <x v="82"/>
    <x v="49"/>
    <n v="3"/>
    <x v="2"/>
    <n v="169"/>
    <x v="1"/>
    <n v="2100"/>
    <x v="0"/>
    <x v="2"/>
    <s v="Credit Card"/>
  </r>
  <r>
    <s v="B084"/>
    <s v="Ajit Kumar"/>
    <x v="83"/>
    <x v="50"/>
    <n v="4"/>
    <x v="3"/>
    <n v="170"/>
    <x v="2"/>
    <n v="1200"/>
    <x v="0"/>
    <x v="3"/>
    <s v="Debit Card"/>
  </r>
  <r>
    <s v="B085"/>
    <s v="Ajit Kumar"/>
    <x v="84"/>
    <x v="49"/>
    <n v="1"/>
    <x v="0"/>
    <n v="171"/>
    <x v="1"/>
    <n v="1500"/>
    <x v="0"/>
    <x v="4"/>
    <s v="Cash"/>
  </r>
  <r>
    <s v="B086"/>
    <s v="Ajit Kumar"/>
    <x v="85"/>
    <x v="50"/>
    <n v="2"/>
    <x v="1"/>
    <n v="172"/>
    <x v="2"/>
    <n v="300"/>
    <x v="0"/>
    <x v="5"/>
    <s v="Credit Card"/>
  </r>
  <r>
    <s v="B087"/>
    <s v="Ajit Kumar"/>
    <x v="86"/>
    <x v="51"/>
    <n v="7"/>
    <x v="2"/>
    <n v="173"/>
    <x v="0"/>
    <n v="190"/>
    <x v="0"/>
    <x v="6"/>
    <s v="Debit Card"/>
  </r>
  <r>
    <s v="B088"/>
    <s v="Ajit Kumar"/>
    <x v="87"/>
    <x v="52"/>
    <n v="3"/>
    <x v="3"/>
    <n v="174"/>
    <x v="0"/>
    <n v="210"/>
    <x v="0"/>
    <x v="7"/>
    <s v="Cash"/>
  </r>
  <r>
    <s v="B089"/>
    <s v="Rohit Das"/>
    <x v="88"/>
    <x v="53"/>
    <n v="4"/>
    <x v="1"/>
    <n v="175"/>
    <x v="2"/>
    <n v="300"/>
    <x v="0"/>
    <x v="1"/>
    <s v="Credit Card"/>
  </r>
  <r>
    <s v="B090"/>
    <s v="Rohit Das"/>
    <x v="89"/>
    <x v="52"/>
    <n v="1"/>
    <x v="0"/>
    <n v="176"/>
    <x v="2"/>
    <n v="300"/>
    <x v="0"/>
    <x v="0"/>
    <s v="Debit Card"/>
  </r>
  <r>
    <s v="B091"/>
    <s v="Rohit Das"/>
    <x v="90"/>
    <x v="53"/>
    <n v="2"/>
    <x v="2"/>
    <n v="177"/>
    <x v="2"/>
    <n v="300"/>
    <x v="0"/>
    <x v="0"/>
    <s v="Cash"/>
  </r>
  <r>
    <s v="B092"/>
    <s v="Rohit Das"/>
    <x v="91"/>
    <x v="54"/>
    <n v="7"/>
    <x v="3"/>
    <n v="178"/>
    <x v="2"/>
    <n v="300"/>
    <x v="0"/>
    <x v="1"/>
    <s v="Credit Card"/>
  </r>
  <r>
    <s v="B093"/>
    <s v="Rohit Das"/>
    <x v="92"/>
    <x v="55"/>
    <n v="3"/>
    <x v="1"/>
    <n v="179"/>
    <x v="2"/>
    <n v="300"/>
    <x v="0"/>
    <x v="2"/>
    <s v="Debit Card"/>
  </r>
  <r>
    <s v="B094"/>
    <s v="Rohit Das"/>
    <x v="93"/>
    <x v="56"/>
    <n v="4"/>
    <x v="0"/>
    <n v="180"/>
    <x v="2"/>
    <n v="300"/>
    <x v="0"/>
    <x v="3"/>
    <s v="Cash"/>
  </r>
  <r>
    <s v="B095"/>
    <s v="Rohit Das"/>
    <x v="94"/>
    <x v="55"/>
    <n v="1"/>
    <x v="2"/>
    <n v="181"/>
    <x v="2"/>
    <n v="300"/>
    <x v="0"/>
    <x v="4"/>
    <s v="Credit Card"/>
  </r>
  <r>
    <s v="B096"/>
    <s v="Rohit Das"/>
    <x v="95"/>
    <x v="56"/>
    <n v="2"/>
    <x v="3"/>
    <n v="182"/>
    <x v="2"/>
    <n v="300"/>
    <x v="0"/>
    <x v="5"/>
    <s v="Debit Card"/>
  </r>
  <r>
    <s v="B097"/>
    <s v="Ramesh"/>
    <x v="96"/>
    <x v="57"/>
    <n v="7"/>
    <x v="3"/>
    <n v="183"/>
    <x v="2"/>
    <n v="300"/>
    <x v="0"/>
    <x v="6"/>
    <s v="Cash"/>
  </r>
  <r>
    <s v="B098"/>
    <s v="Amit"/>
    <x v="97"/>
    <x v="58"/>
    <n v="3"/>
    <x v="3"/>
    <n v="184"/>
    <x v="2"/>
    <n v="300"/>
    <x v="0"/>
    <x v="7"/>
    <s v="Credit Card"/>
  </r>
  <r>
    <s v="B099"/>
    <s v="Chandu"/>
    <x v="98"/>
    <x v="59"/>
    <n v="4"/>
    <x v="3"/>
    <n v="185"/>
    <x v="0"/>
    <n v="190"/>
    <x v="0"/>
    <x v="1"/>
    <s v="Debit Card"/>
  </r>
  <r>
    <s v="B100"/>
    <s v="Siddhu"/>
    <x v="99"/>
    <x v="58"/>
    <n v="1"/>
    <x v="3"/>
    <n v="186"/>
    <x v="1"/>
    <n v="2100"/>
    <x v="0"/>
    <x v="0"/>
    <s v="Cash"/>
  </r>
  <r>
    <s v="B101"/>
    <s v="Siddhu"/>
    <x v="100"/>
    <x v="59"/>
    <n v="2"/>
    <x v="0"/>
    <n v="187"/>
    <x v="0"/>
    <n v="210"/>
    <x v="0"/>
    <x v="0"/>
    <s v="Credit Card"/>
  </r>
  <r>
    <s v="B102"/>
    <s v="Siddhu"/>
    <x v="101"/>
    <x v="60"/>
    <n v="7"/>
    <x v="1"/>
    <n v="188"/>
    <x v="1"/>
    <n v="2100"/>
    <x v="0"/>
    <x v="1"/>
    <s v="Debit Card"/>
  </r>
  <r>
    <s v="B103"/>
    <s v="Siddhu"/>
    <x v="102"/>
    <x v="61"/>
    <n v="3"/>
    <x v="2"/>
    <n v="189"/>
    <x v="2"/>
    <n v="1200"/>
    <x v="0"/>
    <x v="2"/>
    <s v="Cash"/>
  </r>
  <r>
    <s v="B104"/>
    <s v="Siddhu"/>
    <x v="103"/>
    <x v="62"/>
    <n v="4"/>
    <x v="3"/>
    <n v="190"/>
    <x v="1"/>
    <n v="2100"/>
    <x v="0"/>
    <x v="3"/>
    <s v="Credit Card"/>
  </r>
  <r>
    <s v="B105"/>
    <s v="Siddhu"/>
    <x v="104"/>
    <x v="61"/>
    <n v="1"/>
    <x v="0"/>
    <n v="191"/>
    <x v="2"/>
    <n v="1200"/>
    <x v="0"/>
    <x v="4"/>
    <s v="Debit Card"/>
  </r>
  <r>
    <s v="B106"/>
    <s v="Siddhu"/>
    <x v="105"/>
    <x v="62"/>
    <n v="2"/>
    <x v="1"/>
    <n v="192"/>
    <x v="0"/>
    <n v="190"/>
    <x v="0"/>
    <x v="5"/>
    <s v="Cash"/>
  </r>
  <r>
    <s v="B107"/>
    <s v="Siddhu"/>
    <x v="106"/>
    <x v="63"/>
    <n v="7"/>
    <x v="2"/>
    <n v="193"/>
    <x v="1"/>
    <n v="2100"/>
    <x v="0"/>
    <x v="6"/>
    <s v="Credit Card"/>
  </r>
  <r>
    <s v="B108"/>
    <s v="Siddhu"/>
    <x v="107"/>
    <x v="64"/>
    <n v="3"/>
    <x v="3"/>
    <n v="194"/>
    <x v="2"/>
    <n v="1200"/>
    <x v="0"/>
    <x v="7"/>
    <s v="Debit Card"/>
  </r>
  <r>
    <s v="B109"/>
    <s v="Ajit Kumar"/>
    <x v="108"/>
    <x v="65"/>
    <n v="4"/>
    <x v="0"/>
    <n v="195"/>
    <x v="1"/>
    <n v="2100"/>
    <x v="0"/>
    <x v="1"/>
    <s v="Cash"/>
  </r>
  <r>
    <s v="B110"/>
    <s v="Rohit Das"/>
    <x v="109"/>
    <x v="64"/>
    <n v="1"/>
    <x v="1"/>
    <n v="196"/>
    <x v="2"/>
    <n v="1200"/>
    <x v="0"/>
    <x v="0"/>
    <s v="Credit Card"/>
  </r>
  <r>
    <s v="B111"/>
    <s v="Ramesh"/>
    <x v="110"/>
    <x v="65"/>
    <n v="2"/>
    <x v="0"/>
    <n v="197"/>
    <x v="1"/>
    <n v="2100"/>
    <x v="0"/>
    <x v="0"/>
    <s v="Debit Card"/>
  </r>
  <r>
    <s v="B112"/>
    <s v="Amit"/>
    <x v="111"/>
    <x v="66"/>
    <n v="7"/>
    <x v="1"/>
    <n v="198"/>
    <x v="2"/>
    <n v="1200"/>
    <x v="0"/>
    <x v="1"/>
    <s v="Cash"/>
  </r>
  <r>
    <s v="B113"/>
    <s v="Chandu"/>
    <x v="112"/>
    <x v="67"/>
    <n v="3"/>
    <x v="0"/>
    <n v="199"/>
    <x v="0"/>
    <n v="210"/>
    <x v="0"/>
    <x v="2"/>
    <s v="Credit Card"/>
  </r>
  <r>
    <s v="B114"/>
    <s v="Siddhu"/>
    <x v="113"/>
    <x v="68"/>
    <n v="4"/>
    <x v="0"/>
    <n v="200"/>
    <x v="1"/>
    <n v="2100"/>
    <x v="0"/>
    <x v="3"/>
    <s v="Debit Card"/>
  </r>
  <r>
    <s v="B115"/>
    <s v="Ajit Kumar"/>
    <x v="114"/>
    <x v="67"/>
    <n v="1"/>
    <x v="0"/>
    <n v="201"/>
    <x v="2"/>
    <n v="1200"/>
    <x v="0"/>
    <x v="4"/>
    <s v="Cash"/>
  </r>
  <r>
    <s v="B116"/>
    <s v="Rohit Das"/>
    <x v="115"/>
    <x v="68"/>
    <n v="2"/>
    <x v="1"/>
    <n v="202"/>
    <x v="1"/>
    <n v="1500"/>
    <x v="0"/>
    <x v="5"/>
    <s v="Credit Card"/>
  </r>
  <r>
    <s v="B117"/>
    <s v="Ramesh"/>
    <x v="116"/>
    <x v="69"/>
    <n v="7"/>
    <x v="1"/>
    <n v="203"/>
    <x v="2"/>
    <n v="300"/>
    <x v="0"/>
    <x v="6"/>
    <s v="Debit Card"/>
  </r>
  <r>
    <s v="B118"/>
    <s v="Amit"/>
    <x v="117"/>
    <x v="70"/>
    <n v="3"/>
    <x v="0"/>
    <n v="204"/>
    <x v="0"/>
    <n v="190"/>
    <x v="0"/>
    <x v="7"/>
    <s v="Cash"/>
  </r>
  <r>
    <s v="B119"/>
    <s v="Chandu"/>
    <x v="118"/>
    <x v="71"/>
    <n v="4"/>
    <x v="0"/>
    <n v="205"/>
    <x v="0"/>
    <n v="210"/>
    <x v="0"/>
    <x v="1"/>
    <s v="Credit Card"/>
  </r>
  <r>
    <s v="B120"/>
    <s v="Siddhu"/>
    <x v="119"/>
    <x v="70"/>
    <n v="1"/>
    <x v="1"/>
    <n v="206"/>
    <x v="2"/>
    <n v="2100"/>
    <x v="0"/>
    <x v="0"/>
    <s v="Debit Card"/>
  </r>
  <r>
    <s v="B121"/>
    <s v="Siddhu"/>
    <x v="120"/>
    <x v="71"/>
    <n v="2"/>
    <x v="0"/>
    <n v="207"/>
    <x v="1"/>
    <n v="1200"/>
    <x v="0"/>
    <x v="0"/>
    <s v="Cash"/>
  </r>
  <r>
    <s v="B122"/>
    <s v="Ajit Kumar"/>
    <x v="121"/>
    <x v="72"/>
    <n v="7"/>
    <x v="0"/>
    <n v="208"/>
    <x v="2"/>
    <n v="300"/>
    <x v="0"/>
    <x v="1"/>
    <s v="Credit Card"/>
  </r>
  <r>
    <s v="B123"/>
    <s v="Rohit Das"/>
    <x v="122"/>
    <x v="73"/>
    <n v="3"/>
    <x v="0"/>
    <n v="209"/>
    <x v="0"/>
    <n v="200"/>
    <x v="0"/>
    <x v="2"/>
    <s v="Debit Card"/>
  </r>
  <r>
    <s v="B124"/>
    <s v="Ramesh"/>
    <x v="123"/>
    <x v="74"/>
    <n v="4"/>
    <x v="0"/>
    <n v="210"/>
    <x v="0"/>
    <n v="190"/>
    <x v="0"/>
    <x v="3"/>
    <s v="Cash"/>
  </r>
  <r>
    <s v="B125"/>
    <s v="Amit"/>
    <x v="124"/>
    <x v="73"/>
    <n v="1"/>
    <x v="0"/>
    <n v="211"/>
    <x v="1"/>
    <n v="2100"/>
    <x v="0"/>
    <x v="4"/>
    <s v="Credit Card"/>
  </r>
  <r>
    <s v="B126"/>
    <s v="Chandu"/>
    <x v="125"/>
    <x v="74"/>
    <n v="2"/>
    <x v="0"/>
    <n v="212"/>
    <x v="0"/>
    <n v="210"/>
    <x v="0"/>
    <x v="5"/>
    <s v="Debit Card"/>
  </r>
  <r>
    <s v="B127"/>
    <s v="Siddhu"/>
    <x v="126"/>
    <x v="75"/>
    <n v="7"/>
    <x v="0"/>
    <n v="213"/>
    <x v="1"/>
    <n v="2100"/>
    <x v="0"/>
    <x v="6"/>
    <s v="Cash"/>
  </r>
  <r>
    <s v="B128"/>
    <s v="Ajit Kumar"/>
    <x v="127"/>
    <x v="76"/>
    <n v="3"/>
    <x v="0"/>
    <n v="214"/>
    <x v="2"/>
    <n v="1200"/>
    <x v="0"/>
    <x v="7"/>
    <s v="Credit Card"/>
  </r>
  <r>
    <s v="B129"/>
    <s v="Rohit Das"/>
    <x v="128"/>
    <x v="77"/>
    <n v="4"/>
    <x v="1"/>
    <n v="215"/>
    <x v="1"/>
    <n v="1500"/>
    <x v="0"/>
    <x v="1"/>
    <s v="Debit Card"/>
  </r>
  <r>
    <s v="B130"/>
    <s v="Ramesh"/>
    <x v="129"/>
    <x v="76"/>
    <n v="1"/>
    <x v="0"/>
    <n v="216"/>
    <x v="2"/>
    <n v="300"/>
    <x v="0"/>
    <x v="0"/>
    <s v="Cash"/>
  </r>
  <r>
    <s v="B131"/>
    <s v="Amit"/>
    <x v="130"/>
    <x v="77"/>
    <n v="2"/>
    <x v="1"/>
    <n v="217"/>
    <x v="0"/>
    <n v="190"/>
    <x v="0"/>
    <x v="0"/>
    <s v="Credit Card"/>
  </r>
  <r>
    <s v="B132"/>
    <s v="Chandu"/>
    <x v="131"/>
    <x v="78"/>
    <n v="7"/>
    <x v="0"/>
    <n v="218"/>
    <x v="0"/>
    <n v="210"/>
    <x v="0"/>
    <x v="1"/>
    <s v="Debit Card"/>
  </r>
  <r>
    <s v="B133"/>
    <s v="Siddhu"/>
    <x v="132"/>
    <x v="79"/>
    <n v="3"/>
    <x v="0"/>
    <n v="219"/>
    <x v="1"/>
    <n v="2100"/>
    <x v="0"/>
    <x v="2"/>
    <s v="Cash"/>
  </r>
  <r>
    <s v="B134"/>
    <s v="Siddhu"/>
    <x v="133"/>
    <x v="80"/>
    <n v="4"/>
    <x v="0"/>
    <n v="220"/>
    <x v="2"/>
    <n v="1200"/>
    <x v="0"/>
    <x v="3"/>
    <s v="Credit Card"/>
  </r>
  <r>
    <s v="B135"/>
    <s v="Ajit Kumar"/>
    <x v="134"/>
    <x v="79"/>
    <n v="1"/>
    <x v="0"/>
    <n v="221"/>
    <x v="1"/>
    <n v="1500"/>
    <x v="0"/>
    <x v="4"/>
    <s v="Debit Card"/>
  </r>
  <r>
    <s v="B136"/>
    <s v="Ajit Kumar"/>
    <x v="135"/>
    <x v="80"/>
    <n v="2"/>
    <x v="1"/>
    <n v="222"/>
    <x v="2"/>
    <n v="300"/>
    <x v="0"/>
    <x v="5"/>
    <s v="Cash"/>
  </r>
  <r>
    <s v="B137"/>
    <s v="Ajit Kumar"/>
    <x v="136"/>
    <x v="81"/>
    <n v="7"/>
    <x v="2"/>
    <n v="223"/>
    <x v="0"/>
    <n v="190"/>
    <x v="0"/>
    <x v="6"/>
    <s v="Credit Card"/>
  </r>
  <r>
    <s v="B138"/>
    <s v="Ajit Kumar"/>
    <x v="137"/>
    <x v="82"/>
    <n v="3"/>
    <x v="3"/>
    <n v="224"/>
    <x v="0"/>
    <n v="210"/>
    <x v="0"/>
    <x v="7"/>
    <s v="Debit Card"/>
  </r>
  <r>
    <s v="B139"/>
    <s v="Ajit Kumar"/>
    <x v="138"/>
    <x v="83"/>
    <n v="4"/>
    <x v="0"/>
    <n v="225"/>
    <x v="1"/>
    <n v="2100"/>
    <x v="0"/>
    <x v="1"/>
    <s v="Cash"/>
  </r>
  <r>
    <s v="B140"/>
    <s v="Ajit Kumar"/>
    <x v="139"/>
    <x v="82"/>
    <n v="1"/>
    <x v="1"/>
    <n v="226"/>
    <x v="2"/>
    <n v="1200"/>
    <x v="0"/>
    <x v="0"/>
    <s v="Credit Card"/>
  </r>
  <r>
    <s v="B141"/>
    <s v="Ajit Kumar"/>
    <x v="140"/>
    <x v="83"/>
    <n v="2"/>
    <x v="2"/>
    <n v="227"/>
    <x v="1"/>
    <n v="1500"/>
    <x v="0"/>
    <x v="0"/>
    <s v="Debit Card"/>
  </r>
  <r>
    <s v="B142"/>
    <s v="Ajit Kumar"/>
    <x v="141"/>
    <x v="84"/>
    <n v="7"/>
    <x v="3"/>
    <n v="228"/>
    <x v="2"/>
    <n v="300"/>
    <x v="0"/>
    <x v="1"/>
    <s v="Cash"/>
  </r>
  <r>
    <s v="B143"/>
    <s v="Rohit Das"/>
    <x v="142"/>
    <x v="85"/>
    <n v="3"/>
    <x v="1"/>
    <n v="229"/>
    <x v="0"/>
    <n v="190"/>
    <x v="0"/>
    <x v="2"/>
    <s v="Credit Card"/>
  </r>
  <r>
    <s v="B144"/>
    <s v="Rohit Das"/>
    <x v="143"/>
    <x v="86"/>
    <n v="4"/>
    <x v="0"/>
    <n v="230"/>
    <x v="2"/>
    <n v="300"/>
    <x v="0"/>
    <x v="3"/>
    <s v="Debit Card"/>
  </r>
  <r>
    <s v="B145"/>
    <s v="Rohit Das"/>
    <x v="144"/>
    <x v="85"/>
    <n v="1"/>
    <x v="2"/>
    <n v="231"/>
    <x v="2"/>
    <n v="300"/>
    <x v="0"/>
    <x v="4"/>
    <s v="Cash"/>
  </r>
  <r>
    <s v="B146"/>
    <s v="Rohit Das"/>
    <x v="145"/>
    <x v="86"/>
    <n v="2"/>
    <x v="3"/>
    <n v="232"/>
    <x v="2"/>
    <n v="300"/>
    <x v="0"/>
    <x v="5"/>
    <s v="Credit Card"/>
  </r>
  <r>
    <s v="B147"/>
    <s v="Rohit Das"/>
    <x v="146"/>
    <x v="87"/>
    <n v="7"/>
    <x v="1"/>
    <n v="233"/>
    <x v="2"/>
    <n v="300"/>
    <x v="0"/>
    <x v="6"/>
    <s v="Debit Card"/>
  </r>
  <r>
    <s v="B148"/>
    <s v="Rohit Das"/>
    <x v="147"/>
    <x v="88"/>
    <n v="3"/>
    <x v="0"/>
    <n v="234"/>
    <x v="2"/>
    <n v="300"/>
    <x v="0"/>
    <x v="7"/>
    <s v="Cash"/>
  </r>
  <r>
    <s v="B149"/>
    <s v="Rohit Das"/>
    <x v="148"/>
    <x v="89"/>
    <n v="4"/>
    <x v="2"/>
    <n v="235"/>
    <x v="2"/>
    <n v="300"/>
    <x v="0"/>
    <x v="1"/>
    <s v="Credit Card"/>
  </r>
  <r>
    <s v="B150"/>
    <s v="Rohit Das"/>
    <x v="149"/>
    <x v="88"/>
    <n v="1"/>
    <x v="3"/>
    <n v="236"/>
    <x v="2"/>
    <n v="300"/>
    <x v="0"/>
    <x v="0"/>
    <s v="Debit Card"/>
  </r>
  <r>
    <s v="B151"/>
    <s v="Ramesh"/>
    <x v="150"/>
    <x v="89"/>
    <n v="2"/>
    <x v="3"/>
    <n v="237"/>
    <x v="2"/>
    <n v="300"/>
    <x v="0"/>
    <x v="0"/>
    <s v="Cash"/>
  </r>
  <r>
    <s v="B152"/>
    <s v="Amit"/>
    <x v="151"/>
    <x v="90"/>
    <n v="7"/>
    <x v="3"/>
    <n v="238"/>
    <x v="1"/>
    <n v="2100"/>
    <x v="0"/>
    <x v="1"/>
    <s v="Credit Card"/>
  </r>
  <r>
    <s v="B153"/>
    <s v="Chandu"/>
    <x v="152"/>
    <x v="91"/>
    <n v="3"/>
    <x v="3"/>
    <n v="239"/>
    <x v="2"/>
    <n v="1200"/>
    <x v="0"/>
    <x v="2"/>
    <s v="Debit Card"/>
  </r>
  <r>
    <s v="B154"/>
    <s v="Siddhu"/>
    <x v="153"/>
    <x v="92"/>
    <n v="4"/>
    <x v="3"/>
    <n v="240"/>
    <x v="1"/>
    <n v="1500"/>
    <x v="0"/>
    <x v="3"/>
    <s v="Cash"/>
  </r>
  <r>
    <s v="B155"/>
    <s v="Siddhu"/>
    <x v="154"/>
    <x v="91"/>
    <n v="1"/>
    <x v="0"/>
    <n v="241"/>
    <x v="2"/>
    <n v="300"/>
    <x v="0"/>
    <x v="4"/>
    <s v="Credit Card"/>
  </r>
  <r>
    <s v="B156"/>
    <s v="Siddhu"/>
    <x v="155"/>
    <x v="92"/>
    <n v="2"/>
    <x v="1"/>
    <n v="242"/>
    <x v="0"/>
    <n v="190"/>
    <x v="0"/>
    <x v="5"/>
    <s v="Debit Card"/>
  </r>
  <r>
    <s v="B157"/>
    <s v="Siddhu"/>
    <x v="156"/>
    <x v="93"/>
    <n v="7"/>
    <x v="2"/>
    <n v="243"/>
    <x v="0"/>
    <n v="210"/>
    <x v="0"/>
    <x v="6"/>
    <s v="Cash"/>
  </r>
  <r>
    <s v="B158"/>
    <s v="Siddhu"/>
    <x v="157"/>
    <x v="94"/>
    <n v="3"/>
    <x v="3"/>
    <n v="244"/>
    <x v="1"/>
    <n v="2100"/>
    <x v="0"/>
    <x v="7"/>
    <s v="Credit Card"/>
  </r>
  <r>
    <s v="B159"/>
    <s v="Siddhu"/>
    <x v="158"/>
    <x v="95"/>
    <n v="4"/>
    <x v="0"/>
    <n v="245"/>
    <x v="2"/>
    <n v="1200"/>
    <x v="0"/>
    <x v="1"/>
    <s v="Debit Card"/>
  </r>
  <r>
    <s v="B160"/>
    <s v="Siddhu"/>
    <x v="159"/>
    <x v="94"/>
    <n v="1"/>
    <x v="1"/>
    <n v="246"/>
    <x v="1"/>
    <n v="1500"/>
    <x v="0"/>
    <x v="0"/>
    <s v="Cash"/>
  </r>
  <r>
    <s v="B161"/>
    <s v="Siddhu"/>
    <x v="160"/>
    <x v="95"/>
    <n v="2"/>
    <x v="2"/>
    <n v="247"/>
    <x v="2"/>
    <n v="300"/>
    <x v="0"/>
    <x v="0"/>
    <s v="Credit Card"/>
  </r>
  <r>
    <s v="B162"/>
    <s v="Siddhu"/>
    <x v="161"/>
    <x v="96"/>
    <n v="7"/>
    <x v="3"/>
    <n v="248"/>
    <x v="0"/>
    <n v="190"/>
    <x v="0"/>
    <x v="1"/>
    <s v="Debit Card"/>
  </r>
  <r>
    <s v="B163"/>
    <s v="Ajit Kumar"/>
    <x v="162"/>
    <x v="97"/>
    <n v="3"/>
    <x v="0"/>
    <n v="249"/>
    <x v="0"/>
    <n v="210"/>
    <x v="0"/>
    <x v="2"/>
    <s v="Cash"/>
  </r>
  <r>
    <s v="B164"/>
    <s v="Rohit Das"/>
    <x v="163"/>
    <x v="98"/>
    <n v="4"/>
    <x v="1"/>
    <n v="250"/>
    <x v="1"/>
    <n v="2100"/>
    <x v="0"/>
    <x v="3"/>
    <s v="Credit Card"/>
  </r>
  <r>
    <s v="B165"/>
    <s v="Ramesh"/>
    <x v="164"/>
    <x v="97"/>
    <n v="1"/>
    <x v="0"/>
    <n v="251"/>
    <x v="2"/>
    <n v="1200"/>
    <x v="0"/>
    <x v="4"/>
    <s v="Debit Card"/>
  </r>
  <r>
    <s v="B166"/>
    <s v="Amit"/>
    <x v="165"/>
    <x v="98"/>
    <n v="2"/>
    <x v="1"/>
    <n v="252"/>
    <x v="1"/>
    <n v="1500"/>
    <x v="0"/>
    <x v="5"/>
    <s v="Cash"/>
  </r>
  <r>
    <s v="B167"/>
    <s v="Chandu"/>
    <x v="166"/>
    <x v="99"/>
    <n v="7"/>
    <x v="0"/>
    <n v="253"/>
    <x v="2"/>
    <n v="300"/>
    <x v="0"/>
    <x v="6"/>
    <s v="Credit Card"/>
  </r>
  <r>
    <s v="B168"/>
    <s v="Siddhu"/>
    <x v="167"/>
    <x v="100"/>
    <n v="3"/>
    <x v="0"/>
    <n v="254"/>
    <x v="0"/>
    <n v="190"/>
    <x v="0"/>
    <x v="7"/>
    <s v="Debit Card"/>
  </r>
  <r>
    <s v="B169"/>
    <s v="Ajit Kumar"/>
    <x v="168"/>
    <x v="101"/>
    <n v="4"/>
    <x v="0"/>
    <n v="255"/>
    <x v="0"/>
    <n v="210"/>
    <x v="0"/>
    <x v="1"/>
    <s v="Cash"/>
  </r>
  <r>
    <s v="B170"/>
    <s v="Rohit Das"/>
    <x v="169"/>
    <x v="100"/>
    <n v="1"/>
    <x v="1"/>
    <n v="256"/>
    <x v="2"/>
    <n v="2100"/>
    <x v="0"/>
    <x v="0"/>
    <s v="Credit Card"/>
  </r>
  <r>
    <s v="B171"/>
    <s v="Ramesh"/>
    <x v="170"/>
    <x v="101"/>
    <n v="2"/>
    <x v="1"/>
    <n v="257"/>
    <x v="1"/>
    <n v="1200"/>
    <x v="0"/>
    <x v="0"/>
    <s v="Debit Card"/>
  </r>
  <r>
    <s v="B172"/>
    <s v="Amit"/>
    <x v="171"/>
    <x v="102"/>
    <n v="7"/>
    <x v="0"/>
    <n v="258"/>
    <x v="2"/>
    <n v="300"/>
    <x v="0"/>
    <x v="1"/>
    <s v="Cash"/>
  </r>
  <r>
    <s v="B173"/>
    <s v="Chandu"/>
    <x v="172"/>
    <x v="103"/>
    <n v="3"/>
    <x v="0"/>
    <n v="259"/>
    <x v="0"/>
    <n v="200"/>
    <x v="0"/>
    <x v="2"/>
    <s v="Credit Card"/>
  </r>
  <r>
    <s v="B174"/>
    <s v="Siddhu"/>
    <x v="173"/>
    <x v="104"/>
    <n v="4"/>
    <x v="1"/>
    <n v="260"/>
    <x v="0"/>
    <n v="190"/>
    <x v="0"/>
    <x v="3"/>
    <s v="Debit Card"/>
  </r>
  <r>
    <s v="B175"/>
    <s v="Siddhu"/>
    <x v="174"/>
    <x v="103"/>
    <n v="1"/>
    <x v="0"/>
    <n v="261"/>
    <x v="1"/>
    <n v="2100"/>
    <x v="0"/>
    <x v="4"/>
    <s v="Cash"/>
  </r>
  <r>
    <s v="B176"/>
    <s v="Ajit Kumar"/>
    <x v="175"/>
    <x v="104"/>
    <n v="2"/>
    <x v="0"/>
    <n v="262"/>
    <x v="0"/>
    <n v="210"/>
    <x v="0"/>
    <x v="5"/>
    <s v="Credit Card"/>
  </r>
  <r>
    <s v="B177"/>
    <s v="Rohit Das"/>
    <x v="176"/>
    <x v="105"/>
    <n v="7"/>
    <x v="0"/>
    <n v="263"/>
    <x v="0"/>
    <n v="190"/>
    <x v="0"/>
    <x v="6"/>
    <s v="Debit Card"/>
  </r>
  <r>
    <s v="B178"/>
    <s v="Ramesh"/>
    <x v="177"/>
    <x v="106"/>
    <n v="3"/>
    <x v="0"/>
    <n v="264"/>
    <x v="0"/>
    <n v="190"/>
    <x v="0"/>
    <x v="7"/>
    <s v="Cash"/>
  </r>
  <r>
    <s v="B179"/>
    <s v="Amit"/>
    <x v="178"/>
    <x v="107"/>
    <n v="4"/>
    <x v="0"/>
    <n v="265"/>
    <x v="0"/>
    <n v="190"/>
    <x v="0"/>
    <x v="1"/>
    <s v="Credit Card"/>
  </r>
  <r>
    <s v="B180"/>
    <s v="Chandu"/>
    <x v="179"/>
    <x v="106"/>
    <n v="1"/>
    <x v="0"/>
    <n v="266"/>
    <x v="0"/>
    <n v="190"/>
    <x v="0"/>
    <x v="0"/>
    <s v="Debit Card"/>
  </r>
  <r>
    <s v="B181"/>
    <s v="Siddhu"/>
    <x v="180"/>
    <x v="107"/>
    <n v="2"/>
    <x v="0"/>
    <n v="267"/>
    <x v="0"/>
    <n v="190"/>
    <x v="0"/>
    <x v="0"/>
    <s v="Cash"/>
  </r>
  <r>
    <s v="B182"/>
    <s v="Ajit Kumar"/>
    <x v="181"/>
    <x v="108"/>
    <n v="7"/>
    <x v="0"/>
    <n v="268"/>
    <x v="0"/>
    <n v="190"/>
    <x v="0"/>
    <x v="1"/>
    <s v="Credit Card"/>
  </r>
  <r>
    <s v="B183"/>
    <s v="Rohit Das"/>
    <x v="182"/>
    <x v="109"/>
    <n v="3"/>
    <x v="1"/>
    <n v="269"/>
    <x v="0"/>
    <n v="190"/>
    <x v="0"/>
    <x v="2"/>
    <s v="Debit Card"/>
  </r>
  <r>
    <s v="B184"/>
    <s v="Ramesh"/>
    <x v="183"/>
    <x v="110"/>
    <n v="4"/>
    <x v="0"/>
    <n v="270"/>
    <x v="2"/>
    <n v="1200"/>
    <x v="0"/>
    <x v="3"/>
    <s v="Cash"/>
  </r>
  <r>
    <s v="B185"/>
    <s v="Amit"/>
    <x v="184"/>
    <x v="109"/>
    <n v="1"/>
    <x v="1"/>
    <n v="271"/>
    <x v="1"/>
    <n v="1500"/>
    <x v="0"/>
    <x v="4"/>
    <s v="Credit Card"/>
  </r>
  <r>
    <s v="B186"/>
    <s v="Chandu"/>
    <x v="185"/>
    <x v="110"/>
    <n v="2"/>
    <x v="0"/>
    <n v="272"/>
    <x v="2"/>
    <n v="300"/>
    <x v="0"/>
    <x v="5"/>
    <s v="Debit Card"/>
  </r>
  <r>
    <s v="B187"/>
    <s v="Siddhu"/>
    <x v="186"/>
    <x v="111"/>
    <n v="7"/>
    <x v="0"/>
    <n v="273"/>
    <x v="0"/>
    <n v="190"/>
    <x v="0"/>
    <x v="6"/>
    <s v="Cash"/>
  </r>
  <r>
    <s v="B188"/>
    <s v="Siddhu"/>
    <x v="187"/>
    <x v="112"/>
    <n v="3"/>
    <x v="0"/>
    <n v="274"/>
    <x v="0"/>
    <n v="210"/>
    <x v="0"/>
    <x v="7"/>
    <s v="Credit Card"/>
  </r>
  <r>
    <s v="B189"/>
    <s v="Ajit Kumar"/>
    <x v="188"/>
    <x v="113"/>
    <n v="4"/>
    <x v="0"/>
    <n v="275"/>
    <x v="1"/>
    <n v="2100"/>
    <x v="0"/>
    <x v="1"/>
    <s v="Debit Card"/>
  </r>
  <r>
    <s v="B190"/>
    <s v="Ajit Kumar"/>
    <x v="189"/>
    <x v="112"/>
    <n v="1"/>
    <x v="1"/>
    <n v="276"/>
    <x v="2"/>
    <n v="1200"/>
    <x v="0"/>
    <x v="0"/>
    <s v="Cash"/>
  </r>
  <r>
    <s v="B191"/>
    <s v="Ajit Kumar"/>
    <x v="190"/>
    <x v="113"/>
    <n v="2"/>
    <x v="2"/>
    <n v="277"/>
    <x v="1"/>
    <n v="1500"/>
    <x v="0"/>
    <x v="0"/>
    <s v="Credit Card"/>
  </r>
  <r>
    <s v="B192"/>
    <s v="Ajit Kumar"/>
    <x v="191"/>
    <x v="114"/>
    <n v="7"/>
    <x v="3"/>
    <n v="278"/>
    <x v="2"/>
    <n v="300"/>
    <x v="0"/>
    <x v="1"/>
    <s v="Debit Card"/>
  </r>
  <r>
    <s v="B193"/>
    <s v="Ajit Kumar"/>
    <x v="192"/>
    <x v="115"/>
    <n v="3"/>
    <x v="0"/>
    <n v="279"/>
    <x v="0"/>
    <n v="190"/>
    <x v="0"/>
    <x v="2"/>
    <s v="Cash"/>
  </r>
  <r>
    <s v="B194"/>
    <s v="Ajit Kumar"/>
    <x v="193"/>
    <x v="116"/>
    <n v="4"/>
    <x v="1"/>
    <n v="280"/>
    <x v="0"/>
    <n v="210"/>
    <x v="0"/>
    <x v="3"/>
    <s v="Credit Card"/>
  </r>
  <r>
    <s v="B195"/>
    <s v="Ajit Kumar"/>
    <x v="194"/>
    <x v="115"/>
    <n v="1"/>
    <x v="2"/>
    <n v="281"/>
    <x v="2"/>
    <n v="2100"/>
    <x v="0"/>
    <x v="4"/>
    <s v="Debit Card"/>
  </r>
  <r>
    <s v="B196"/>
    <s v="Ajit Kumar"/>
    <x v="195"/>
    <x v="116"/>
    <n v="2"/>
    <x v="3"/>
    <n v="282"/>
    <x v="1"/>
    <n v="1200"/>
    <x v="0"/>
    <x v="5"/>
    <s v="Cash"/>
  </r>
  <r>
    <s v="B197"/>
    <s v="Rohit Das"/>
    <x v="196"/>
    <x v="117"/>
    <n v="7"/>
    <x v="1"/>
    <n v="283"/>
    <x v="2"/>
    <n v="300"/>
    <x v="0"/>
    <x v="6"/>
    <s v="Credit Card"/>
  </r>
  <r>
    <s v="B198"/>
    <s v="Rohit Das"/>
    <x v="197"/>
    <x v="118"/>
    <n v="3"/>
    <x v="0"/>
    <n v="284"/>
    <x v="0"/>
    <n v="200"/>
    <x v="0"/>
    <x v="7"/>
    <s v="Debit Card"/>
  </r>
  <r>
    <s v="B199"/>
    <s v="Rohit Das"/>
    <x v="198"/>
    <x v="119"/>
    <n v="4"/>
    <x v="2"/>
    <n v="285"/>
    <x v="0"/>
    <n v="190"/>
    <x v="0"/>
    <x v="1"/>
    <s v="Cash"/>
  </r>
  <r>
    <s v="B200"/>
    <s v="Rohit Das"/>
    <x v="199"/>
    <x v="118"/>
    <n v="1"/>
    <x v="3"/>
    <n v="286"/>
    <x v="1"/>
    <n v="2100"/>
    <x v="0"/>
    <x v="0"/>
    <s v="Credit Card"/>
  </r>
  <r>
    <s v="B201"/>
    <s v="Rohit Das"/>
    <x v="200"/>
    <x v="119"/>
    <n v="2"/>
    <x v="1"/>
    <n v="287"/>
    <x v="0"/>
    <n v="210"/>
    <x v="0"/>
    <x v="0"/>
    <s v="Debit Card"/>
  </r>
  <r>
    <s v="B202"/>
    <s v="Rohit Das"/>
    <x v="201"/>
    <x v="120"/>
    <n v="7"/>
    <x v="0"/>
    <n v="288"/>
    <x v="1"/>
    <n v="2100"/>
    <x v="0"/>
    <x v="1"/>
    <s v="Cash"/>
  </r>
  <r>
    <s v="B203"/>
    <s v="Rohit Das"/>
    <x v="202"/>
    <x v="121"/>
    <n v="3"/>
    <x v="2"/>
    <n v="289"/>
    <x v="2"/>
    <n v="1200"/>
    <x v="0"/>
    <x v="2"/>
    <s v="Credit Card"/>
  </r>
  <r>
    <s v="B204"/>
    <s v="Rohit Das"/>
    <x v="203"/>
    <x v="122"/>
    <n v="4"/>
    <x v="3"/>
    <n v="290"/>
    <x v="1"/>
    <n v="1500"/>
    <x v="0"/>
    <x v="3"/>
    <s v="Debit Card"/>
  </r>
  <r>
    <s v="B205"/>
    <s v="Ramesh"/>
    <x v="204"/>
    <x v="121"/>
    <n v="1"/>
    <x v="3"/>
    <n v="291"/>
    <x v="2"/>
    <n v="300"/>
    <x v="0"/>
    <x v="4"/>
    <s v="Cash"/>
  </r>
  <r>
    <s v="B206"/>
    <s v="Amit"/>
    <x v="205"/>
    <x v="122"/>
    <n v="2"/>
    <x v="3"/>
    <n v="292"/>
    <x v="0"/>
    <n v="190"/>
    <x v="0"/>
    <x v="5"/>
    <s v="Credit Card"/>
  </r>
  <r>
    <s v="B207"/>
    <s v="Chandu"/>
    <x v="206"/>
    <x v="123"/>
    <n v="7"/>
    <x v="3"/>
    <n v="293"/>
    <x v="0"/>
    <n v="210"/>
    <x v="0"/>
    <x v="6"/>
    <s v="Debit Card"/>
  </r>
  <r>
    <s v="B208"/>
    <s v="Siddhu"/>
    <x v="207"/>
    <x v="124"/>
    <n v="3"/>
    <x v="3"/>
    <n v="294"/>
    <x v="1"/>
    <n v="2100"/>
    <x v="0"/>
    <x v="7"/>
    <s v="Cash"/>
  </r>
  <r>
    <s v="B209"/>
    <s v="Siddhu"/>
    <x v="208"/>
    <x v="125"/>
    <n v="4"/>
    <x v="0"/>
    <n v="295"/>
    <x v="2"/>
    <n v="1200"/>
    <x v="0"/>
    <x v="1"/>
    <s v="Credit Card"/>
  </r>
  <r>
    <s v="B210"/>
    <s v="Siddhu"/>
    <x v="209"/>
    <x v="124"/>
    <n v="1"/>
    <x v="1"/>
    <n v="296"/>
    <x v="1"/>
    <n v="1500"/>
    <x v="0"/>
    <x v="0"/>
    <s v="Debit Card"/>
  </r>
  <r>
    <s v="B211"/>
    <s v="Siddhu"/>
    <x v="210"/>
    <x v="125"/>
    <n v="2"/>
    <x v="2"/>
    <n v="297"/>
    <x v="2"/>
    <n v="300"/>
    <x v="0"/>
    <x v="0"/>
    <s v="Cash"/>
  </r>
  <r>
    <s v="B212"/>
    <s v="Siddhu"/>
    <x v="211"/>
    <x v="126"/>
    <n v="7"/>
    <x v="3"/>
    <n v="298"/>
    <x v="0"/>
    <n v="190"/>
    <x v="0"/>
    <x v="1"/>
    <s v="Credit Card"/>
  </r>
  <r>
    <s v="B213"/>
    <s v="Siddhu"/>
    <x v="212"/>
    <x v="127"/>
    <n v="3"/>
    <x v="0"/>
    <n v="299"/>
    <x v="0"/>
    <n v="210"/>
    <x v="0"/>
    <x v="2"/>
    <s v="Debit Card"/>
  </r>
  <r>
    <s v="B214"/>
    <s v="Siddhu"/>
    <x v="213"/>
    <x v="128"/>
    <n v="4"/>
    <x v="1"/>
    <n v="300"/>
    <x v="1"/>
    <n v="2100"/>
    <x v="0"/>
    <x v="3"/>
    <s v="Cash"/>
  </r>
  <r>
    <s v="B215"/>
    <s v="Siddhu"/>
    <x v="214"/>
    <x v="127"/>
    <n v="1"/>
    <x v="2"/>
    <n v="301"/>
    <x v="2"/>
    <n v="1200"/>
    <x v="0"/>
    <x v="4"/>
    <s v="Credit Card"/>
  </r>
  <r>
    <s v="B216"/>
    <s v="Siddhu"/>
    <x v="215"/>
    <x v="128"/>
    <n v="2"/>
    <x v="3"/>
    <n v="302"/>
    <x v="1"/>
    <n v="1500"/>
    <x v="0"/>
    <x v="5"/>
    <s v="Debit Card"/>
  </r>
  <r>
    <s v="B217"/>
    <s v="Ajit Kumar"/>
    <x v="216"/>
    <x v="129"/>
    <n v="7"/>
    <x v="0"/>
    <n v="303"/>
    <x v="2"/>
    <n v="300"/>
    <x v="0"/>
    <x v="6"/>
    <s v="Cash"/>
  </r>
  <r>
    <s v="B218"/>
    <s v="Rohit Das"/>
    <x v="217"/>
    <x v="130"/>
    <n v="3"/>
    <x v="1"/>
    <n v="304"/>
    <x v="0"/>
    <n v="190"/>
    <x v="0"/>
    <x v="7"/>
    <s v="Credit Card"/>
  </r>
  <r>
    <s v="B219"/>
    <s v="Ramesh"/>
    <x v="218"/>
    <x v="131"/>
    <n v="4"/>
    <x v="0"/>
    <n v="305"/>
    <x v="0"/>
    <n v="210"/>
    <x v="0"/>
    <x v="1"/>
    <s v="Debit Card"/>
  </r>
  <r>
    <s v="B220"/>
    <s v="Amit"/>
    <x v="219"/>
    <x v="130"/>
    <n v="1"/>
    <x v="1"/>
    <n v="306"/>
    <x v="2"/>
    <n v="2100"/>
    <x v="0"/>
    <x v="0"/>
    <s v="Cash"/>
  </r>
  <r>
    <s v="B221"/>
    <s v="Chandu"/>
    <x v="220"/>
    <x v="131"/>
    <n v="2"/>
    <x v="0"/>
    <n v="307"/>
    <x v="1"/>
    <n v="1200"/>
    <x v="0"/>
    <x v="0"/>
    <s v="Credit Card"/>
  </r>
  <r>
    <s v="B222"/>
    <s v="Siddhu"/>
    <x v="221"/>
    <x v="132"/>
    <n v="7"/>
    <x v="0"/>
    <n v="308"/>
    <x v="2"/>
    <n v="300"/>
    <x v="0"/>
    <x v="1"/>
    <s v="Debit Card"/>
  </r>
  <r>
    <s v="B223"/>
    <s v="Ajit Kumar"/>
    <x v="222"/>
    <x v="133"/>
    <n v="3"/>
    <x v="0"/>
    <n v="309"/>
    <x v="0"/>
    <n v="200"/>
    <x v="0"/>
    <x v="2"/>
    <s v="Cash"/>
  </r>
  <r>
    <s v="B224"/>
    <s v="Rohit Das"/>
    <x v="223"/>
    <x v="134"/>
    <n v="4"/>
    <x v="1"/>
    <n v="310"/>
    <x v="0"/>
    <n v="190"/>
    <x v="0"/>
    <x v="3"/>
    <s v="Credit Card"/>
  </r>
  <r>
    <s v="B225"/>
    <s v="Ramesh"/>
    <x v="224"/>
    <x v="133"/>
    <n v="1"/>
    <x v="1"/>
    <n v="311"/>
    <x v="1"/>
    <n v="2100"/>
    <x v="0"/>
    <x v="4"/>
    <s v="Debit Card"/>
  </r>
  <r>
    <s v="B226"/>
    <s v="Amit"/>
    <x v="225"/>
    <x v="134"/>
    <n v="2"/>
    <x v="0"/>
    <n v="312"/>
    <x v="0"/>
    <n v="210"/>
    <x v="0"/>
    <x v="5"/>
    <s v="Cash"/>
  </r>
  <r>
    <s v="B227"/>
    <s v="Chandu"/>
    <x v="226"/>
    <x v="135"/>
    <n v="7"/>
    <x v="0"/>
    <n v="313"/>
    <x v="1"/>
    <n v="2100"/>
    <x v="0"/>
    <x v="6"/>
    <s v="Credit Card"/>
  </r>
  <r>
    <s v="B228"/>
    <s v="Siddhu"/>
    <x v="227"/>
    <x v="136"/>
    <n v="3"/>
    <x v="1"/>
    <n v="314"/>
    <x v="2"/>
    <n v="1200"/>
    <x v="0"/>
    <x v="7"/>
    <s v="Debit Card"/>
  </r>
  <r>
    <s v="B229"/>
    <s v="Siddhu"/>
    <x v="228"/>
    <x v="137"/>
    <n v="4"/>
    <x v="0"/>
    <n v="315"/>
    <x v="1"/>
    <n v="1500"/>
    <x v="0"/>
    <x v="1"/>
    <s v="Cash"/>
  </r>
  <r>
    <s v="B230"/>
    <s v="Ajit Kumar"/>
    <x v="229"/>
    <x v="136"/>
    <n v="1"/>
    <x v="0"/>
    <n v="316"/>
    <x v="2"/>
    <n v="300"/>
    <x v="0"/>
    <x v="0"/>
    <s v="Credit Card"/>
  </r>
  <r>
    <s v="B231"/>
    <s v="Rohit Das"/>
    <x v="230"/>
    <x v="137"/>
    <n v="2"/>
    <x v="0"/>
    <n v="317"/>
    <x v="0"/>
    <n v="190"/>
    <x v="0"/>
    <x v="0"/>
    <s v="Debit Card"/>
  </r>
  <r>
    <s v="B232"/>
    <s v="Ramesh"/>
    <x v="231"/>
    <x v="138"/>
    <n v="7"/>
    <x v="0"/>
    <n v="318"/>
    <x v="0"/>
    <n v="210"/>
    <x v="0"/>
    <x v="1"/>
    <s v="Cash"/>
  </r>
  <r>
    <s v="B233"/>
    <s v="Amit"/>
    <x v="232"/>
    <x v="139"/>
    <n v="3"/>
    <x v="0"/>
    <n v="319"/>
    <x v="1"/>
    <n v="2100"/>
    <x v="0"/>
    <x v="2"/>
    <s v="Credit Card"/>
  </r>
  <r>
    <s v="B234"/>
    <s v="Chandu"/>
    <x v="233"/>
    <x v="140"/>
    <n v="4"/>
    <x v="0"/>
    <n v="320"/>
    <x v="1"/>
    <n v="2100"/>
    <x v="0"/>
    <x v="3"/>
    <s v="Debit Card"/>
  </r>
  <r>
    <s v="B235"/>
    <s v="Siddhu"/>
    <x v="234"/>
    <x v="139"/>
    <n v="1"/>
    <x v="0"/>
    <n v="321"/>
    <x v="1"/>
    <n v="1500"/>
    <x v="0"/>
    <x v="4"/>
    <s v="Cash"/>
  </r>
  <r>
    <s v="B236"/>
    <s v="Ajit Kumar"/>
    <x v="235"/>
    <x v="140"/>
    <n v="2"/>
    <x v="0"/>
    <n v="322"/>
    <x v="2"/>
    <n v="300"/>
    <x v="0"/>
    <x v="5"/>
    <s v="Credit Card"/>
  </r>
  <r>
    <s v="B237"/>
    <s v="Rohit Das"/>
    <x v="236"/>
    <x v="141"/>
    <n v="7"/>
    <x v="1"/>
    <n v="323"/>
    <x v="0"/>
    <n v="190"/>
    <x v="0"/>
    <x v="6"/>
    <s v="Debit Card"/>
  </r>
  <r>
    <s v="B238"/>
    <s v="Ramesh"/>
    <x v="237"/>
    <x v="142"/>
    <n v="3"/>
    <x v="0"/>
    <n v="324"/>
    <x v="0"/>
    <n v="210"/>
    <x v="0"/>
    <x v="7"/>
    <s v="Cash"/>
  </r>
  <r>
    <s v="B239"/>
    <s v="Amit"/>
    <x v="238"/>
    <x v="143"/>
    <n v="4"/>
    <x v="1"/>
    <n v="325"/>
    <x v="1"/>
    <n v="2100"/>
    <x v="0"/>
    <x v="1"/>
    <s v="Credit Card"/>
  </r>
  <r>
    <s v="B240"/>
    <s v="Chandu"/>
    <x v="239"/>
    <x v="142"/>
    <n v="1"/>
    <x v="0"/>
    <n v="326"/>
    <x v="2"/>
    <n v="1200"/>
    <x v="0"/>
    <x v="0"/>
    <s v="Debit Card"/>
  </r>
  <r>
    <s v="B241"/>
    <s v="Siddhu"/>
    <x v="240"/>
    <x v="143"/>
    <n v="2"/>
    <x v="0"/>
    <n v="327"/>
    <x v="1"/>
    <n v="1500"/>
    <x v="0"/>
    <x v="0"/>
    <s v="Cash"/>
  </r>
  <r>
    <s v="B242"/>
    <s v="Siddhu"/>
    <x v="241"/>
    <x v="144"/>
    <n v="7"/>
    <x v="0"/>
    <n v="328"/>
    <x v="2"/>
    <n v="300"/>
    <x v="0"/>
    <x v="1"/>
    <s v="Credit Card"/>
  </r>
  <r>
    <s v="B243"/>
    <s v="Ajit Kumar"/>
    <x v="242"/>
    <x v="145"/>
    <n v="3"/>
    <x v="0"/>
    <n v="329"/>
    <x v="2"/>
    <n v="300"/>
    <x v="0"/>
    <x v="2"/>
    <s v="Debit Card"/>
  </r>
  <r>
    <s v="B244"/>
    <s v="Ajit Kumar"/>
    <x v="243"/>
    <x v="146"/>
    <n v="4"/>
    <x v="1"/>
    <n v="330"/>
    <x v="0"/>
    <n v="190"/>
    <x v="0"/>
    <x v="3"/>
    <s v="Cash"/>
  </r>
  <r>
    <s v="B245"/>
    <s v="Ajit Kumar"/>
    <x v="244"/>
    <x v="145"/>
    <n v="1"/>
    <x v="2"/>
    <n v="331"/>
    <x v="0"/>
    <n v="210"/>
    <x v="0"/>
    <x v="4"/>
    <s v="Credit Card"/>
  </r>
  <r>
    <s v="B246"/>
    <s v="Ajit Kumar"/>
    <x v="245"/>
    <x v="146"/>
    <n v="2"/>
    <x v="3"/>
    <n v="332"/>
    <x v="1"/>
    <n v="2100"/>
    <x v="0"/>
    <x v="5"/>
    <s v="Debit Card"/>
  </r>
  <r>
    <s v="B247"/>
    <s v="Ajit Kumar"/>
    <x v="246"/>
    <x v="147"/>
    <n v="7"/>
    <x v="0"/>
    <n v="333"/>
    <x v="2"/>
    <n v="1200"/>
    <x v="0"/>
    <x v="6"/>
    <s v="Cash"/>
  </r>
  <r>
    <s v="B248"/>
    <s v="Ajit Kumar"/>
    <x v="247"/>
    <x v="148"/>
    <n v="3"/>
    <x v="1"/>
    <n v="334"/>
    <x v="1"/>
    <n v="1500"/>
    <x v="0"/>
    <x v="7"/>
    <s v="Credit Card"/>
  </r>
  <r>
    <s v="B249"/>
    <s v="Ajit Kumar"/>
    <x v="248"/>
    <x v="149"/>
    <n v="4"/>
    <x v="2"/>
    <n v="335"/>
    <x v="2"/>
    <n v="300"/>
    <x v="0"/>
    <x v="1"/>
    <s v="Debit Card"/>
  </r>
  <r>
    <s v="B250"/>
    <s v="Ajit Kumar"/>
    <x v="249"/>
    <x v="148"/>
    <n v="1"/>
    <x v="3"/>
    <n v="336"/>
    <x v="2"/>
    <n v="300"/>
    <x v="0"/>
    <x v="0"/>
    <s v="Cash"/>
  </r>
  <r>
    <s v="B251"/>
    <s v="Rohit Das"/>
    <x v="250"/>
    <x v="149"/>
    <n v="2"/>
    <x v="1"/>
    <n v="337"/>
    <x v="0"/>
    <n v="190"/>
    <x v="0"/>
    <x v="0"/>
    <s v="Credit Card"/>
  </r>
  <r>
    <s v="B252"/>
    <s v="Rohit Das"/>
    <x v="251"/>
    <x v="150"/>
    <n v="7"/>
    <x v="0"/>
    <n v="338"/>
    <x v="0"/>
    <n v="210"/>
    <x v="0"/>
    <x v="1"/>
    <s v="Debit Card"/>
  </r>
  <r>
    <s v="B253"/>
    <s v="Rohit Das"/>
    <x v="252"/>
    <x v="151"/>
    <n v="3"/>
    <x v="2"/>
    <n v="339"/>
    <x v="1"/>
    <n v="2100"/>
    <x v="0"/>
    <x v="2"/>
    <s v="Cash"/>
  </r>
  <r>
    <s v="B254"/>
    <s v="Rohit Das"/>
    <x v="253"/>
    <x v="152"/>
    <n v="4"/>
    <x v="3"/>
    <n v="340"/>
    <x v="2"/>
    <n v="1200"/>
    <x v="0"/>
    <x v="3"/>
    <s v="Credit Card"/>
  </r>
  <r>
    <s v="B255"/>
    <s v="Rohit Das"/>
    <x v="254"/>
    <x v="151"/>
    <n v="1"/>
    <x v="1"/>
    <n v="341"/>
    <x v="1"/>
    <n v="1500"/>
    <x v="0"/>
    <x v="4"/>
    <s v="Debit Card"/>
  </r>
  <r>
    <s v="B256"/>
    <s v="Rohit Das"/>
    <x v="255"/>
    <x v="152"/>
    <n v="2"/>
    <x v="0"/>
    <n v="342"/>
    <x v="2"/>
    <n v="300"/>
    <x v="0"/>
    <x v="5"/>
    <s v="Cash"/>
  </r>
  <r>
    <s v="B257"/>
    <s v="Rohit Das"/>
    <x v="256"/>
    <x v="153"/>
    <n v="7"/>
    <x v="2"/>
    <n v="343"/>
    <x v="0"/>
    <n v="210"/>
    <x v="0"/>
    <x v="6"/>
    <s v="Credit Card"/>
  </r>
  <r>
    <s v="B258"/>
    <s v="Rohit Das"/>
    <x v="257"/>
    <x v="154"/>
    <n v="3"/>
    <x v="3"/>
    <n v="102"/>
    <x v="1"/>
    <n v="2100"/>
    <x v="0"/>
    <x v="7"/>
    <s v="Debit Card"/>
  </r>
  <r>
    <s v="B259"/>
    <s v="Ramesh"/>
    <x v="258"/>
    <x v="155"/>
    <n v="4"/>
    <x v="3"/>
    <n v="104"/>
    <x v="2"/>
    <n v="1200"/>
    <x v="0"/>
    <x v="1"/>
    <s v="Cash"/>
  </r>
  <r>
    <s v="B260"/>
    <s v="Amit"/>
    <x v="259"/>
    <x v="154"/>
    <n v="1"/>
    <x v="3"/>
    <n v="106"/>
    <x v="1"/>
    <n v="1500"/>
    <x v="0"/>
    <x v="0"/>
    <s v="Credit Card"/>
  </r>
  <r>
    <s v="B261"/>
    <s v="Chandu"/>
    <x v="260"/>
    <x v="155"/>
    <n v="2"/>
    <x v="3"/>
    <n v="108"/>
    <x v="2"/>
    <n v="300"/>
    <x v="0"/>
    <x v="0"/>
    <s v="Debit Card"/>
  </r>
  <r>
    <s v="B262"/>
    <s v="Siddhu"/>
    <x v="261"/>
    <x v="156"/>
    <n v="7"/>
    <x v="3"/>
    <n v="110"/>
    <x v="0"/>
    <n v="190"/>
    <x v="0"/>
    <x v="1"/>
    <s v="Cash"/>
  </r>
  <r>
    <s v="B263"/>
    <s v="Siddhu"/>
    <x v="262"/>
    <x v="157"/>
    <n v="3"/>
    <x v="0"/>
    <n v="112"/>
    <x v="0"/>
    <n v="210"/>
    <x v="0"/>
    <x v="2"/>
    <s v="Credit Card"/>
  </r>
  <r>
    <s v="B264"/>
    <s v="Siddhu"/>
    <x v="263"/>
    <x v="158"/>
    <n v="4"/>
    <x v="1"/>
    <n v="114"/>
    <x v="1"/>
    <n v="2100"/>
    <x v="0"/>
    <x v="3"/>
    <s v="Debit Card"/>
  </r>
  <r>
    <s v="B265"/>
    <s v="Siddhu"/>
    <x v="264"/>
    <x v="157"/>
    <n v="1"/>
    <x v="2"/>
    <n v="116"/>
    <x v="2"/>
    <n v="1200"/>
    <x v="0"/>
    <x v="4"/>
    <s v="Cash"/>
  </r>
  <r>
    <s v="B266"/>
    <s v="Siddhu"/>
    <x v="265"/>
    <x v="158"/>
    <n v="2"/>
    <x v="3"/>
    <n v="118"/>
    <x v="1"/>
    <n v="1500"/>
    <x v="0"/>
    <x v="5"/>
    <s v="Credit Card"/>
  </r>
  <r>
    <s v="B267"/>
    <s v="Siddhu"/>
    <x v="266"/>
    <x v="159"/>
    <n v="7"/>
    <x v="0"/>
    <n v="120"/>
    <x v="1"/>
    <n v="2100"/>
    <x v="0"/>
    <x v="6"/>
    <s v="Debit Card"/>
  </r>
  <r>
    <s v="B268"/>
    <s v="Siddhu"/>
    <x v="267"/>
    <x v="160"/>
    <n v="3"/>
    <x v="1"/>
    <n v="122"/>
    <x v="1"/>
    <n v="2100"/>
    <x v="0"/>
    <x v="7"/>
    <s v="Cash"/>
  </r>
  <r>
    <s v="B269"/>
    <s v="Siddhu"/>
    <x v="268"/>
    <x v="161"/>
    <n v="4"/>
    <x v="2"/>
    <n v="124"/>
    <x v="1"/>
    <n v="2100"/>
    <x v="0"/>
    <x v="1"/>
    <s v="Credit Card"/>
  </r>
  <r>
    <s v="B270"/>
    <s v="Siddhu"/>
    <x v="269"/>
    <x v="160"/>
    <n v="1"/>
    <x v="3"/>
    <n v="126"/>
    <x v="1"/>
    <n v="2100"/>
    <x v="0"/>
    <x v="0"/>
    <s v="Debit Card"/>
  </r>
  <r>
    <s v="B271"/>
    <s v="Ajit Kumar"/>
    <x v="270"/>
    <x v="161"/>
    <n v="2"/>
    <x v="0"/>
    <n v="128"/>
    <x v="1"/>
    <n v="2100"/>
    <x v="0"/>
    <x v="0"/>
    <s v="Cash"/>
  </r>
  <r>
    <s v="B272"/>
    <s v="Rohit Das"/>
    <x v="271"/>
    <x v="162"/>
    <n v="7"/>
    <x v="1"/>
    <n v="130"/>
    <x v="1"/>
    <n v="2100"/>
    <x v="0"/>
    <x v="1"/>
    <s v="Credit Card"/>
  </r>
  <r>
    <s v="B273"/>
    <s v="Ramesh"/>
    <x v="272"/>
    <x v="163"/>
    <n v="3"/>
    <x v="0"/>
    <n v="132"/>
    <x v="1"/>
    <n v="2100"/>
    <x v="0"/>
    <x v="2"/>
    <s v="Debit Card"/>
  </r>
  <r>
    <s v="B274"/>
    <s v="Amit"/>
    <x v="273"/>
    <x v="164"/>
    <n v="4"/>
    <x v="1"/>
    <n v="134"/>
    <x v="1"/>
    <n v="2100"/>
    <x v="0"/>
    <x v="3"/>
    <s v="Cash"/>
  </r>
  <r>
    <s v="B275"/>
    <s v="Chandu"/>
    <x v="274"/>
    <x v="163"/>
    <n v="1"/>
    <x v="0"/>
    <n v="136"/>
    <x v="1"/>
    <n v="2100"/>
    <x v="0"/>
    <x v="4"/>
    <s v="Credit Card"/>
  </r>
  <r>
    <s v="B276"/>
    <s v="Siddhu"/>
    <x v="275"/>
    <x v="164"/>
    <n v="2"/>
    <x v="0"/>
    <n v="138"/>
    <x v="1"/>
    <n v="2100"/>
    <x v="0"/>
    <x v="5"/>
    <s v="Debit Card"/>
  </r>
  <r>
    <s v="B277"/>
    <s v="Ajit Kumar"/>
    <x v="276"/>
    <x v="165"/>
    <n v="7"/>
    <x v="0"/>
    <n v="140"/>
    <x v="1"/>
    <n v="2100"/>
    <x v="0"/>
    <x v="6"/>
    <s v="Cash"/>
  </r>
  <r>
    <s v="B278"/>
    <s v="Rohit Das"/>
    <x v="277"/>
    <x v="166"/>
    <n v="3"/>
    <x v="1"/>
    <n v="142"/>
    <x v="2"/>
    <n v="1200"/>
    <x v="0"/>
    <x v="7"/>
    <s v="Credit Card"/>
  </r>
  <r>
    <s v="B279"/>
    <s v="Ramesh"/>
    <x v="278"/>
    <x v="167"/>
    <n v="4"/>
    <x v="1"/>
    <n v="144"/>
    <x v="1"/>
    <n v="1500"/>
    <x v="0"/>
    <x v="1"/>
    <s v="Debit Card"/>
  </r>
  <r>
    <s v="B280"/>
    <s v="Amit"/>
    <x v="279"/>
    <x v="166"/>
    <n v="1"/>
    <x v="0"/>
    <n v="146"/>
    <x v="2"/>
    <n v="300"/>
    <x v="0"/>
    <x v="0"/>
    <s v="Cash"/>
  </r>
  <r>
    <s v="B281"/>
    <s v="Chandu"/>
    <x v="280"/>
    <x v="167"/>
    <n v="2"/>
    <x v="0"/>
    <n v="148"/>
    <x v="0"/>
    <n v="190"/>
    <x v="0"/>
    <x v="0"/>
    <s v="Credit Card"/>
  </r>
  <r>
    <s v="B282"/>
    <s v="Siddhu"/>
    <x v="281"/>
    <x v="168"/>
    <n v="7"/>
    <x v="1"/>
    <n v="150"/>
    <x v="0"/>
    <n v="210"/>
    <x v="0"/>
    <x v="1"/>
    <s v="Debit Card"/>
  </r>
  <r>
    <s v="B283"/>
    <s v="Siddhu"/>
    <x v="282"/>
    <x v="169"/>
    <n v="3"/>
    <x v="0"/>
    <n v="152"/>
    <x v="1"/>
    <n v="2100"/>
    <x v="0"/>
    <x v="2"/>
    <s v="Cash"/>
  </r>
  <r>
    <s v="B284"/>
    <s v="Ajit Kumar"/>
    <x v="283"/>
    <x v="170"/>
    <n v="4"/>
    <x v="0"/>
    <n v="154"/>
    <x v="2"/>
    <n v="1200"/>
    <x v="0"/>
    <x v="3"/>
    <s v="Credit Card"/>
  </r>
  <r>
    <s v="B285"/>
    <s v="Rohit Das"/>
    <x v="284"/>
    <x v="169"/>
    <n v="1"/>
    <x v="0"/>
    <n v="156"/>
    <x v="1"/>
    <n v="1500"/>
    <x v="0"/>
    <x v="4"/>
    <s v="Debit Card"/>
  </r>
  <r>
    <s v="B286"/>
    <s v="Ramesh"/>
    <x v="285"/>
    <x v="170"/>
    <n v="2"/>
    <x v="0"/>
    <n v="158"/>
    <x v="2"/>
    <n v="300"/>
    <x v="0"/>
    <x v="5"/>
    <s v="Cash"/>
  </r>
  <r>
    <s v="B287"/>
    <s v="Amit"/>
    <x v="286"/>
    <x v="171"/>
    <n v="7"/>
    <x v="0"/>
    <n v="160"/>
    <x v="0"/>
    <n v="190"/>
    <x v="0"/>
    <x v="6"/>
    <s v="Credit Card"/>
  </r>
  <r>
    <s v="B288"/>
    <s v="Chandu"/>
    <x v="287"/>
    <x v="172"/>
    <n v="3"/>
    <x v="0"/>
    <n v="162"/>
    <x v="0"/>
    <n v="210"/>
    <x v="0"/>
    <x v="7"/>
    <s v="Debit Card"/>
  </r>
  <r>
    <s v="B289"/>
    <s v="Siddhu"/>
    <x v="288"/>
    <x v="173"/>
    <n v="4"/>
    <x v="0"/>
    <n v="164"/>
    <x v="1"/>
    <n v="2100"/>
    <x v="0"/>
    <x v="1"/>
    <s v="Cash"/>
  </r>
  <r>
    <s v="B290"/>
    <s v="Ajit Kumar"/>
    <x v="289"/>
    <x v="172"/>
    <n v="1"/>
    <x v="0"/>
    <n v="166"/>
    <x v="2"/>
    <n v="1200"/>
    <x v="0"/>
    <x v="0"/>
    <s v="Credit Card"/>
  </r>
  <r>
    <s v="B291"/>
    <s v="Rohit Das"/>
    <x v="290"/>
    <x v="173"/>
    <n v="2"/>
    <x v="1"/>
    <n v="168"/>
    <x v="1"/>
    <n v="1500"/>
    <x v="0"/>
    <x v="0"/>
    <s v="Debit Card"/>
  </r>
  <r>
    <s v="B292"/>
    <s v="Ramesh"/>
    <x v="291"/>
    <x v="174"/>
    <n v="7"/>
    <x v="0"/>
    <n v="170"/>
    <x v="2"/>
    <n v="300"/>
    <x v="0"/>
    <x v="1"/>
    <s v="Cash"/>
  </r>
  <r>
    <s v="B293"/>
    <s v="Amit"/>
    <x v="292"/>
    <x v="175"/>
    <n v="3"/>
    <x v="1"/>
    <n v="172"/>
    <x v="1"/>
    <n v="1500"/>
    <x v="0"/>
    <x v="2"/>
    <s v="Credit Card"/>
  </r>
  <r>
    <s v="B294"/>
    <s v="Chandu"/>
    <x v="293"/>
    <x v="176"/>
    <n v="4"/>
    <x v="0"/>
    <n v="174"/>
    <x v="2"/>
    <n v="300"/>
    <x v="0"/>
    <x v="3"/>
    <s v="Debit Card"/>
  </r>
  <r>
    <s v="B295"/>
    <s v="Siddhu"/>
    <x v="294"/>
    <x v="175"/>
    <n v="1"/>
    <x v="0"/>
    <n v="176"/>
    <x v="1"/>
    <n v="1500"/>
    <x v="0"/>
    <x v="4"/>
    <s v="Cash"/>
  </r>
  <r>
    <s v="B296"/>
    <s v="Siddhu"/>
    <x v="295"/>
    <x v="176"/>
    <n v="2"/>
    <x v="0"/>
    <n v="178"/>
    <x v="2"/>
    <n v="300"/>
    <x v="0"/>
    <x v="5"/>
    <s v="Credit Card"/>
  </r>
  <r>
    <s v="B297"/>
    <s v="Ajit Kumar"/>
    <x v="296"/>
    <x v="177"/>
    <n v="7"/>
    <x v="0"/>
    <n v="180"/>
    <x v="1"/>
    <n v="1500"/>
    <x v="0"/>
    <x v="6"/>
    <s v="Debit Card"/>
  </r>
  <r>
    <s v="B298"/>
    <s v="Ajit Kumar"/>
    <x v="297"/>
    <x v="178"/>
    <n v="3"/>
    <x v="1"/>
    <n v="182"/>
    <x v="2"/>
    <n v="300"/>
    <x v="0"/>
    <x v="7"/>
    <s v="Cash"/>
  </r>
  <r>
    <s v="B299"/>
    <s v="Ajit Kumar"/>
    <x v="298"/>
    <x v="179"/>
    <n v="4"/>
    <x v="2"/>
    <n v="184"/>
    <x v="1"/>
    <n v="1500"/>
    <x v="0"/>
    <x v="1"/>
    <s v="Credit Card"/>
  </r>
  <r>
    <s v="B300"/>
    <s v="Ajit Kumar"/>
    <x v="299"/>
    <x v="178"/>
    <n v="1"/>
    <x v="3"/>
    <n v="186"/>
    <x v="2"/>
    <n v="300"/>
    <x v="0"/>
    <x v="0"/>
    <s v="Debit Card"/>
  </r>
  <r>
    <s v="B301"/>
    <s v="Ajit Kumar"/>
    <x v="300"/>
    <x v="179"/>
    <n v="2"/>
    <x v="0"/>
    <n v="188"/>
    <x v="1"/>
    <n v="1500"/>
    <x v="0"/>
    <x v="0"/>
    <s v="Cash"/>
  </r>
  <r>
    <s v="B302"/>
    <s v="Ajit Kumar"/>
    <x v="301"/>
    <x v="180"/>
    <n v="7"/>
    <x v="1"/>
    <n v="190"/>
    <x v="1"/>
    <n v="2100"/>
    <x v="0"/>
    <x v="1"/>
    <s v="Credit Card"/>
  </r>
  <r>
    <s v="B303"/>
    <s v="Ajit Kumar"/>
    <x v="302"/>
    <x v="181"/>
    <n v="3"/>
    <x v="2"/>
    <n v="192"/>
    <x v="2"/>
    <n v="1200"/>
    <x v="0"/>
    <x v="2"/>
    <s v="Debit Card"/>
  </r>
  <r>
    <s v="B304"/>
    <s v="Ajit Kumar"/>
    <x v="303"/>
    <x v="182"/>
    <n v="4"/>
    <x v="3"/>
    <n v="194"/>
    <x v="1"/>
    <n v="1500"/>
    <x v="0"/>
    <x v="3"/>
    <s v="Cash"/>
  </r>
  <r>
    <s v="B305"/>
    <s v="Rohit Das"/>
    <x v="304"/>
    <x v="181"/>
    <n v="1"/>
    <x v="1"/>
    <n v="196"/>
    <x v="2"/>
    <n v="300"/>
    <x v="0"/>
    <x v="4"/>
    <s v="Credit Card"/>
  </r>
  <r>
    <s v="B306"/>
    <s v="Rohit Das"/>
    <x v="305"/>
    <x v="182"/>
    <n v="2"/>
    <x v="0"/>
    <n v="198"/>
    <x v="0"/>
    <n v="190"/>
    <x v="0"/>
    <x v="5"/>
    <s v="Debit Card"/>
  </r>
  <r>
    <s v="B307"/>
    <s v="Rohit Das"/>
    <x v="306"/>
    <x v="183"/>
    <n v="7"/>
    <x v="2"/>
    <n v="200"/>
    <x v="0"/>
    <n v="190"/>
    <x v="0"/>
    <x v="6"/>
    <s v="Cash"/>
  </r>
  <r>
    <s v="B308"/>
    <s v="Rohit Das"/>
    <x v="307"/>
    <x v="184"/>
    <n v="3"/>
    <x v="3"/>
    <n v="202"/>
    <x v="0"/>
    <n v="190"/>
    <x v="0"/>
    <x v="7"/>
    <s v="Credit Card"/>
  </r>
  <r>
    <s v="B309"/>
    <s v="Rohit Das"/>
    <x v="308"/>
    <x v="185"/>
    <n v="4"/>
    <x v="1"/>
    <n v="204"/>
    <x v="0"/>
    <n v="190"/>
    <x v="0"/>
    <x v="1"/>
    <s v="Debit Card"/>
  </r>
  <r>
    <s v="B310"/>
    <s v="Rohit Das"/>
    <x v="309"/>
    <x v="184"/>
    <n v="1"/>
    <x v="0"/>
    <n v="206"/>
    <x v="0"/>
    <n v="190"/>
    <x v="0"/>
    <x v="0"/>
    <s v="Cash"/>
  </r>
  <r>
    <s v="B311"/>
    <s v="Rohit Das"/>
    <x v="310"/>
    <x v="185"/>
    <n v="2"/>
    <x v="2"/>
    <n v="208"/>
    <x v="0"/>
    <n v="190"/>
    <x v="0"/>
    <x v="0"/>
    <s v="Credit Card"/>
  </r>
  <r>
    <s v="B312"/>
    <s v="Rohit Das"/>
    <x v="311"/>
    <x v="186"/>
    <n v="7"/>
    <x v="3"/>
    <n v="210"/>
    <x v="0"/>
    <n v="190"/>
    <x v="0"/>
    <x v="1"/>
    <s v="Debit Card"/>
  </r>
  <r>
    <s v="B313"/>
    <s v="Ramesh"/>
    <x v="312"/>
    <x v="187"/>
    <n v="3"/>
    <x v="3"/>
    <n v="212"/>
    <x v="0"/>
    <n v="190"/>
    <x v="0"/>
    <x v="2"/>
    <s v="Cash"/>
  </r>
  <r>
    <s v="B314"/>
    <s v="Amit"/>
    <x v="313"/>
    <x v="188"/>
    <n v="4"/>
    <x v="3"/>
    <n v="214"/>
    <x v="0"/>
    <n v="190"/>
    <x v="0"/>
    <x v="3"/>
    <s v="Credit Card"/>
  </r>
  <r>
    <s v="B315"/>
    <s v="Chandu"/>
    <x v="314"/>
    <x v="187"/>
    <n v="1"/>
    <x v="3"/>
    <n v="216"/>
    <x v="0"/>
    <n v="190"/>
    <x v="0"/>
    <x v="4"/>
    <s v="Debit Card"/>
  </r>
  <r>
    <s v="B316"/>
    <s v="Siddhu"/>
    <x v="315"/>
    <x v="188"/>
    <n v="2"/>
    <x v="3"/>
    <n v="218"/>
    <x v="0"/>
    <n v="190"/>
    <x v="0"/>
    <x v="5"/>
    <s v="Cash"/>
  </r>
  <r>
    <s v="B317"/>
    <s v="Siddhu"/>
    <x v="316"/>
    <x v="189"/>
    <n v="7"/>
    <x v="0"/>
    <n v="220"/>
    <x v="0"/>
    <n v="190"/>
    <x v="0"/>
    <x v="6"/>
    <s v="Credit Card"/>
  </r>
  <r>
    <s v="B318"/>
    <s v="Siddhu"/>
    <x v="317"/>
    <x v="190"/>
    <n v="3"/>
    <x v="1"/>
    <n v="222"/>
    <x v="0"/>
    <n v="190"/>
    <x v="0"/>
    <x v="7"/>
    <s v="Debit Card"/>
  </r>
  <r>
    <s v="B319"/>
    <s v="Siddhu"/>
    <x v="318"/>
    <x v="191"/>
    <n v="4"/>
    <x v="2"/>
    <n v="224"/>
    <x v="0"/>
    <n v="210"/>
    <x v="0"/>
    <x v="1"/>
    <s v="Cash"/>
  </r>
  <r>
    <s v="B320"/>
    <s v="Siddhu"/>
    <x v="319"/>
    <x v="190"/>
    <n v="1"/>
    <x v="3"/>
    <n v="226"/>
    <x v="0"/>
    <n v="210"/>
    <x v="0"/>
    <x v="0"/>
    <s v="Credit Card"/>
  </r>
  <r>
    <s v="B321"/>
    <s v="Siddhu"/>
    <x v="320"/>
    <x v="191"/>
    <n v="2"/>
    <x v="0"/>
    <n v="228"/>
    <x v="0"/>
    <n v="210"/>
    <x v="0"/>
    <x v="0"/>
    <s v="Debit Card"/>
  </r>
  <r>
    <s v="B322"/>
    <s v="Siddhu"/>
    <x v="321"/>
    <x v="192"/>
    <n v="7"/>
    <x v="1"/>
    <n v="230"/>
    <x v="0"/>
    <n v="210"/>
    <x v="0"/>
    <x v="1"/>
    <s v="Cash"/>
  </r>
  <r>
    <s v="B323"/>
    <s v="Siddhu"/>
    <x v="322"/>
    <x v="193"/>
    <n v="3"/>
    <x v="2"/>
    <n v="232"/>
    <x v="0"/>
    <n v="210"/>
    <x v="0"/>
    <x v="2"/>
    <s v="Credit Card"/>
  </r>
  <r>
    <s v="B324"/>
    <s v="Siddhu"/>
    <x v="323"/>
    <x v="194"/>
    <n v="4"/>
    <x v="3"/>
    <n v="234"/>
    <x v="0"/>
    <n v="210"/>
    <x v="0"/>
    <x v="3"/>
    <s v="Debit Card"/>
  </r>
  <r>
    <s v="B325"/>
    <s v="Ajit Kumar"/>
    <x v="324"/>
    <x v="193"/>
    <n v="1"/>
    <x v="0"/>
    <n v="236"/>
    <x v="0"/>
    <n v="210"/>
    <x v="0"/>
    <x v="4"/>
    <s v="Cash"/>
  </r>
  <r>
    <s v="B326"/>
    <s v="Rohit Das"/>
    <x v="325"/>
    <x v="194"/>
    <n v="2"/>
    <x v="1"/>
    <n v="238"/>
    <x v="0"/>
    <n v="210"/>
    <x v="0"/>
    <x v="5"/>
    <s v="Credit Card"/>
  </r>
  <r>
    <s v="B327"/>
    <s v="Ramesh"/>
    <x v="326"/>
    <x v="195"/>
    <n v="7"/>
    <x v="0"/>
    <n v="240"/>
    <x v="0"/>
    <n v="210"/>
    <x v="0"/>
    <x v="6"/>
    <s v="Debit Card"/>
  </r>
  <r>
    <s v="B328"/>
    <s v="Amit"/>
    <x v="327"/>
    <x v="196"/>
    <n v="3"/>
    <x v="1"/>
    <n v="242"/>
    <x v="0"/>
    <n v="210"/>
    <x v="0"/>
    <x v="7"/>
    <s v="Cash"/>
  </r>
  <r>
    <s v="B329"/>
    <s v="Chandu"/>
    <x v="328"/>
    <x v="197"/>
    <n v="4"/>
    <x v="0"/>
    <n v="244"/>
    <x v="0"/>
    <n v="210"/>
    <x v="0"/>
    <x v="1"/>
    <s v="Credit Card"/>
  </r>
  <r>
    <s v="B330"/>
    <s v="Siddhu"/>
    <x v="329"/>
    <x v="196"/>
    <n v="1"/>
    <x v="0"/>
    <n v="246"/>
    <x v="0"/>
    <n v="210"/>
    <x v="2"/>
    <x v="0"/>
    <s v="Debit Card"/>
  </r>
  <r>
    <s v="B331"/>
    <s v="Ajit Kumar"/>
    <x v="330"/>
    <x v="197"/>
    <n v="2"/>
    <x v="0"/>
    <n v="248"/>
    <x v="0"/>
    <n v="190"/>
    <x v="2"/>
    <x v="0"/>
    <s v="Cash"/>
  </r>
  <r>
    <s v="B332"/>
    <s v="Rohit Das"/>
    <x v="331"/>
    <x v="198"/>
    <n v="7"/>
    <x v="1"/>
    <n v="250"/>
    <x v="0"/>
    <n v="210"/>
    <x v="2"/>
    <x v="1"/>
    <s v="Credit Card"/>
  </r>
  <r>
    <s v="B333"/>
    <s v="Ramesh"/>
    <x v="332"/>
    <x v="199"/>
    <n v="3"/>
    <x v="1"/>
    <n v="252"/>
    <x v="1"/>
    <n v="2100"/>
    <x v="2"/>
    <x v="2"/>
    <s v="Debit Card"/>
  </r>
  <r>
    <s v="B334"/>
    <s v="Amit"/>
    <x v="333"/>
    <x v="200"/>
    <n v="4"/>
    <x v="0"/>
    <n v="254"/>
    <x v="2"/>
    <n v="1200"/>
    <x v="2"/>
    <x v="3"/>
    <s v="Cash"/>
  </r>
  <r>
    <s v="B335"/>
    <s v="Chandu"/>
    <x v="334"/>
    <x v="199"/>
    <n v="1"/>
    <x v="0"/>
    <n v="256"/>
    <x v="1"/>
    <n v="1500"/>
    <x v="2"/>
    <x v="4"/>
    <s v="Credit Card"/>
  </r>
  <r>
    <s v="B336"/>
    <s v="Siddhu"/>
    <x v="335"/>
    <x v="200"/>
    <n v="2"/>
    <x v="1"/>
    <n v="258"/>
    <x v="1"/>
    <n v="1500"/>
    <x v="2"/>
    <x v="5"/>
    <s v="Debit Card"/>
  </r>
  <r>
    <s v="B337"/>
    <s v="Siddhu"/>
    <x v="336"/>
    <x v="201"/>
    <n v="7"/>
    <x v="0"/>
    <n v="260"/>
    <x v="1"/>
    <n v="1500"/>
    <x v="2"/>
    <x v="6"/>
    <s v="Cash"/>
  </r>
  <r>
    <s v="B338"/>
    <s v="Ajit Kumar"/>
    <x v="337"/>
    <x v="202"/>
    <n v="3"/>
    <x v="0"/>
    <n v="262"/>
    <x v="1"/>
    <n v="1500"/>
    <x v="2"/>
    <x v="7"/>
    <s v="Credit Card"/>
  </r>
  <r>
    <s v="B339"/>
    <s v="Rohit Das"/>
    <x v="338"/>
    <x v="203"/>
    <n v="4"/>
    <x v="0"/>
    <n v="264"/>
    <x v="1"/>
    <n v="1500"/>
    <x v="2"/>
    <x v="1"/>
    <s v="Debit Card"/>
  </r>
  <r>
    <s v="B340"/>
    <s v="Ramesh"/>
    <x v="339"/>
    <x v="202"/>
    <n v="1"/>
    <x v="0"/>
    <n v="266"/>
    <x v="1"/>
    <n v="1500"/>
    <x v="2"/>
    <x v="0"/>
    <s v="Cash"/>
  </r>
  <r>
    <s v="B341"/>
    <s v="Amit"/>
    <x v="340"/>
    <x v="203"/>
    <n v="2"/>
    <x v="0"/>
    <n v="268"/>
    <x v="1"/>
    <n v="1500"/>
    <x v="2"/>
    <x v="0"/>
    <s v="Credit Card"/>
  </r>
  <r>
    <s v="B342"/>
    <s v="Chandu"/>
    <x v="341"/>
    <x v="204"/>
    <n v="7"/>
    <x v="0"/>
    <n v="270"/>
    <x v="1"/>
    <n v="1500"/>
    <x v="2"/>
    <x v="1"/>
    <s v="Debit Card"/>
  </r>
  <r>
    <s v="B343"/>
    <s v="Siddhu"/>
    <x v="342"/>
    <x v="205"/>
    <n v="3"/>
    <x v="0"/>
    <n v="272"/>
    <x v="1"/>
    <n v="1500"/>
    <x v="2"/>
    <x v="2"/>
    <s v="Cash"/>
  </r>
  <r>
    <s v="B344"/>
    <s v="Ajit Kumar"/>
    <x v="343"/>
    <x v="206"/>
    <n v="4"/>
    <x v="0"/>
    <n v="274"/>
    <x v="0"/>
    <n v="210"/>
    <x v="2"/>
    <x v="3"/>
    <s v="Credit Card"/>
  </r>
  <r>
    <s v="B345"/>
    <s v="Rohit Das"/>
    <x v="344"/>
    <x v="205"/>
    <n v="1"/>
    <x v="1"/>
    <n v="276"/>
    <x v="2"/>
    <n v="2100"/>
    <x v="2"/>
    <x v="4"/>
    <s v="Debit Card"/>
  </r>
  <r>
    <s v="B346"/>
    <s v="Ramesh"/>
    <x v="345"/>
    <x v="206"/>
    <n v="2"/>
    <x v="0"/>
    <n v="278"/>
    <x v="1"/>
    <n v="1200"/>
    <x v="2"/>
    <x v="5"/>
    <s v="Cash"/>
  </r>
  <r>
    <s v="B347"/>
    <s v="Amit"/>
    <x v="346"/>
    <x v="207"/>
    <n v="7"/>
    <x v="1"/>
    <n v="280"/>
    <x v="2"/>
    <n v="300"/>
    <x v="2"/>
    <x v="6"/>
    <s v="Credit Card"/>
  </r>
  <r>
    <s v="B348"/>
    <s v="Chandu"/>
    <x v="347"/>
    <x v="208"/>
    <n v="3"/>
    <x v="0"/>
    <n v="282"/>
    <x v="0"/>
    <n v="200"/>
    <x v="1"/>
    <x v="7"/>
    <s v="Debit Card"/>
  </r>
  <r>
    <s v="B349"/>
    <s v="Siddhu"/>
    <x v="348"/>
    <x v="209"/>
    <n v="4"/>
    <x v="0"/>
    <n v="284"/>
    <x v="0"/>
    <n v="190"/>
    <x v="1"/>
    <x v="1"/>
    <s v="Cash"/>
  </r>
  <r>
    <s v="B350"/>
    <s v="Siddhu"/>
    <x v="349"/>
    <x v="208"/>
    <n v="1"/>
    <x v="0"/>
    <n v="286"/>
    <x v="1"/>
    <n v="2100"/>
    <x v="1"/>
    <x v="0"/>
    <s v="Credit Card"/>
  </r>
  <r>
    <s v="B351"/>
    <s v="Ajit Kumar"/>
    <x v="350"/>
    <x v="209"/>
    <n v="2"/>
    <x v="0"/>
    <n v="288"/>
    <x v="0"/>
    <n v="210"/>
    <x v="1"/>
    <x v="0"/>
    <s v="Debit Card"/>
  </r>
  <r>
    <s v="B352"/>
    <s v="Ajit Kumar"/>
    <x v="351"/>
    <x v="210"/>
    <n v="7"/>
    <x v="1"/>
    <n v="290"/>
    <x v="1"/>
    <n v="2100"/>
    <x v="1"/>
    <x v="1"/>
    <s v="Cash"/>
  </r>
  <r>
    <s v="B353"/>
    <s v="Ajit Kumar"/>
    <x v="352"/>
    <x v="211"/>
    <n v="3"/>
    <x v="2"/>
    <n v="292"/>
    <x v="2"/>
    <n v="1200"/>
    <x v="1"/>
    <x v="2"/>
    <s v="Credit Card"/>
  </r>
  <r>
    <s v="B354"/>
    <s v="Ajit Kumar"/>
    <x v="353"/>
    <x v="212"/>
    <n v="4"/>
    <x v="3"/>
    <n v="294"/>
    <x v="1"/>
    <n v="1500"/>
    <x v="1"/>
    <x v="3"/>
    <s v="Debit Card"/>
  </r>
  <r>
    <s v="B355"/>
    <s v="Ajit Kumar"/>
    <x v="354"/>
    <x v="211"/>
    <n v="1"/>
    <x v="0"/>
    <n v="201"/>
    <x v="2"/>
    <n v="300"/>
    <x v="1"/>
    <x v="4"/>
    <s v="Cash"/>
  </r>
  <r>
    <s v="B356"/>
    <s v="Ajit Kumar"/>
    <x v="355"/>
    <x v="212"/>
    <n v="2"/>
    <x v="1"/>
    <n v="202"/>
    <x v="0"/>
    <n v="190"/>
    <x v="1"/>
    <x v="5"/>
    <s v="Credit Card"/>
  </r>
  <r>
    <s v="B357"/>
    <s v="Ajit Kumar"/>
    <x v="356"/>
    <x v="213"/>
    <n v="7"/>
    <x v="2"/>
    <n v="203"/>
    <x v="0"/>
    <n v="210"/>
    <x v="1"/>
    <x v="6"/>
    <s v="Debit Card"/>
  </r>
  <r>
    <s v="B358"/>
    <s v="Ajit Kumar"/>
    <x v="357"/>
    <x v="214"/>
    <n v="3"/>
    <x v="3"/>
    <n v="204"/>
    <x v="1"/>
    <n v="2100"/>
    <x v="1"/>
    <x v="7"/>
    <s v="Cash"/>
  </r>
  <r>
    <s v="B359"/>
    <s v="Rohit Das"/>
    <x v="358"/>
    <x v="215"/>
    <n v="4"/>
    <x v="1"/>
    <n v="205"/>
    <x v="1"/>
    <n v="2100"/>
    <x v="1"/>
    <x v="1"/>
    <s v="Credit Card"/>
  </r>
  <r>
    <s v="B360"/>
    <s v="Rohit Das"/>
    <x v="359"/>
    <x v="214"/>
    <n v="1"/>
    <x v="0"/>
    <n v="206"/>
    <x v="1"/>
    <n v="2100"/>
    <x v="1"/>
    <x v="0"/>
    <s v="Debit Card"/>
  </r>
  <r>
    <s v="B361"/>
    <s v="Rohit Das"/>
    <x v="360"/>
    <x v="215"/>
    <n v="2"/>
    <x v="2"/>
    <n v="207"/>
    <x v="1"/>
    <n v="2100"/>
    <x v="1"/>
    <x v="0"/>
    <s v="Cash"/>
  </r>
  <r>
    <s v="B362"/>
    <s v="Rohit Das"/>
    <x v="361"/>
    <x v="216"/>
    <n v="7"/>
    <x v="3"/>
    <n v="208"/>
    <x v="1"/>
    <n v="2100"/>
    <x v="1"/>
    <x v="1"/>
    <s v="Credit Card"/>
  </r>
  <r>
    <s v="B363"/>
    <s v="Rohit Das"/>
    <x v="362"/>
    <x v="217"/>
    <n v="3"/>
    <x v="1"/>
    <n v="209"/>
    <x v="1"/>
    <n v="2100"/>
    <x v="1"/>
    <x v="2"/>
    <s v="Debit Card"/>
  </r>
  <r>
    <s v="B364"/>
    <s v="Rohit Das"/>
    <x v="363"/>
    <x v="218"/>
    <n v="4"/>
    <x v="0"/>
    <n v="210"/>
    <x v="1"/>
    <n v="2100"/>
    <x v="1"/>
    <x v="3"/>
    <s v="Cash"/>
  </r>
  <r>
    <s v="B365"/>
    <s v="Rohit Das"/>
    <x v="364"/>
    <x v="217"/>
    <n v="1"/>
    <x v="2"/>
    <n v="211"/>
    <x v="2"/>
    <n v="1200"/>
    <x v="1"/>
    <x v="4"/>
    <s v="Credit Card"/>
  </r>
  <r>
    <s v="B366"/>
    <s v="Rohit Das"/>
    <x v="365"/>
    <x v="218"/>
    <n v="2"/>
    <x v="3"/>
    <n v="400"/>
    <x v="1"/>
    <n v="1500"/>
    <x v="1"/>
    <x v="5"/>
    <s v="Debit 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00EE8E-DF45-448A-80D4-935AA50E2CFD}"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D3:E8" firstHeaderRow="1" firstDataRow="1" firstDataCol="1"/>
  <pivotFields count="18">
    <pivotField dataField="1" showAll="0"/>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umFmtId="14" showAll="0">
      <items count="221">
        <item m="1" x="219"/>
        <item x="0"/>
        <item x="2"/>
        <item x="1"/>
        <item x="4"/>
        <item x="5"/>
        <item x="3"/>
        <item x="7"/>
        <item x="8"/>
        <item x="6"/>
        <item x="10"/>
        <item x="11"/>
        <item x="9"/>
        <item x="13"/>
        <item x="14"/>
        <item x="12"/>
        <item x="16"/>
        <item x="17"/>
        <item x="15"/>
        <item x="19"/>
        <item x="20"/>
        <item x="18"/>
        <item x="22"/>
        <item x="23"/>
        <item x="21"/>
        <item x="25"/>
        <item x="26"/>
        <item x="24"/>
        <item x="28"/>
        <item x="29"/>
        <item x="27"/>
        <item x="31"/>
        <item x="32"/>
        <item x="30"/>
        <item x="34"/>
        <item x="35"/>
        <item x="33"/>
        <item x="37"/>
        <item x="38"/>
        <item x="36"/>
        <item x="40"/>
        <item x="41"/>
        <item x="39"/>
        <item x="43"/>
        <item x="44"/>
        <item x="42"/>
        <item x="46"/>
        <item x="47"/>
        <item x="45"/>
        <item x="49"/>
        <item x="50"/>
        <item x="48"/>
        <item x="52"/>
        <item x="53"/>
        <item x="51"/>
        <item x="55"/>
        <item x="56"/>
        <item x="54"/>
        <item x="58"/>
        <item x="59"/>
        <item x="57"/>
        <item x="61"/>
        <item x="62"/>
        <item x="60"/>
        <item x="64"/>
        <item x="65"/>
        <item x="63"/>
        <item x="67"/>
        <item x="68"/>
        <item x="66"/>
        <item x="70"/>
        <item x="71"/>
        <item x="69"/>
        <item x="73"/>
        <item x="74"/>
        <item x="72"/>
        <item x="76"/>
        <item x="77"/>
        <item x="75"/>
        <item x="79"/>
        <item x="80"/>
        <item x="78"/>
        <item x="82"/>
        <item x="83"/>
        <item x="81"/>
        <item x="85"/>
        <item x="86"/>
        <item x="84"/>
        <item x="88"/>
        <item x="89"/>
        <item x="87"/>
        <item x="91"/>
        <item x="92"/>
        <item x="90"/>
        <item x="94"/>
        <item x="95"/>
        <item x="93"/>
        <item x="97"/>
        <item x="98"/>
        <item x="96"/>
        <item x="100"/>
        <item x="101"/>
        <item x="99"/>
        <item x="103"/>
        <item x="104"/>
        <item x="102"/>
        <item x="106"/>
        <item x="107"/>
        <item x="105"/>
        <item x="109"/>
        <item x="110"/>
        <item x="108"/>
        <item x="112"/>
        <item x="113"/>
        <item x="111"/>
        <item x="115"/>
        <item x="116"/>
        <item x="114"/>
        <item x="118"/>
        <item x="119"/>
        <item x="117"/>
        <item x="121"/>
        <item x="122"/>
        <item x="120"/>
        <item x="124"/>
        <item x="125"/>
        <item x="123"/>
        <item x="127"/>
        <item x="128"/>
        <item x="126"/>
        <item x="130"/>
        <item x="131"/>
        <item x="129"/>
        <item x="133"/>
        <item x="134"/>
        <item x="132"/>
        <item x="136"/>
        <item x="137"/>
        <item x="135"/>
        <item x="139"/>
        <item x="140"/>
        <item x="138"/>
        <item x="142"/>
        <item x="143"/>
        <item x="141"/>
        <item x="145"/>
        <item x="146"/>
        <item x="144"/>
        <item x="148"/>
        <item x="149"/>
        <item x="147"/>
        <item x="151"/>
        <item x="152"/>
        <item x="150"/>
        <item x="154"/>
        <item x="155"/>
        <item x="153"/>
        <item x="157"/>
        <item x="158"/>
        <item x="156"/>
        <item x="160"/>
        <item x="161"/>
        <item x="159"/>
        <item x="163"/>
        <item x="164"/>
        <item x="162"/>
        <item x="166"/>
        <item x="167"/>
        <item x="165"/>
        <item x="169"/>
        <item x="170"/>
        <item x="168"/>
        <item x="172"/>
        <item x="173"/>
        <item x="171"/>
        <item x="175"/>
        <item x="176"/>
        <item x="174"/>
        <item x="178"/>
        <item x="179"/>
        <item x="177"/>
        <item x="181"/>
        <item x="182"/>
        <item x="180"/>
        <item x="184"/>
        <item x="185"/>
        <item x="183"/>
        <item x="187"/>
        <item x="188"/>
        <item x="186"/>
        <item x="190"/>
        <item x="191"/>
        <item x="189"/>
        <item x="193"/>
        <item x="194"/>
        <item x="192"/>
        <item x="196"/>
        <item x="197"/>
        <item x="195"/>
        <item x="199"/>
        <item x="200"/>
        <item x="198"/>
        <item x="202"/>
        <item x="203"/>
        <item x="201"/>
        <item x="205"/>
        <item x="206"/>
        <item x="204"/>
        <item x="208"/>
        <item x="209"/>
        <item x="207"/>
        <item x="211"/>
        <item x="212"/>
        <item x="210"/>
        <item x="214"/>
        <item x="215"/>
        <item x="213"/>
        <item x="217"/>
        <item x="218"/>
        <item x="216"/>
        <item t="default"/>
      </items>
    </pivotField>
    <pivotField showAll="0"/>
    <pivotField axis="axisRow" showAll="0">
      <items count="5">
        <item x="3"/>
        <item x="0"/>
        <item x="1"/>
        <item x="2"/>
        <item t="default"/>
      </items>
    </pivotField>
    <pivotField showAll="0"/>
    <pivotField showAll="0">
      <items count="4">
        <item x="2"/>
        <item x="1"/>
        <item x="0"/>
        <item t="default"/>
      </items>
    </pivotField>
    <pivotField numFmtId="1" showAll="0"/>
    <pivotField showAll="0">
      <items count="4">
        <item x="2"/>
        <item x="0"/>
        <item x="1"/>
        <item t="default"/>
      </items>
    </pivotField>
    <pivotField showAll="0">
      <items count="9">
        <item x="6"/>
        <item x="4"/>
        <item x="1"/>
        <item x="5"/>
        <item x="7"/>
        <item x="2"/>
        <item x="3"/>
        <item x="0"/>
        <item t="default"/>
      </items>
    </pivotField>
    <pivotField showAll="0"/>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1"/>
        <item x="2"/>
        <item x="3"/>
        <item x="0"/>
        <item t="default"/>
      </items>
    </pivotField>
  </pivotFields>
  <rowFields count="1">
    <field x="5"/>
  </rowFields>
  <rowItems count="5">
    <i>
      <x/>
    </i>
    <i>
      <x v="1"/>
    </i>
    <i>
      <x v="2"/>
    </i>
    <i>
      <x v="3"/>
    </i>
    <i t="grand">
      <x/>
    </i>
  </rowItems>
  <colItems count="1">
    <i/>
  </colItems>
  <dataFields count="1">
    <dataField name="Count of Booking ID" fld="0"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41CCE2-0CED-4B2F-8F05-895902C925E6}"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location ref="M3:N37" firstHeaderRow="1" firstDataRow="1" firstDataCol="1"/>
  <pivotFields count="18">
    <pivotField showAll="0"/>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umFmtId="14" showAll="0">
      <items count="221">
        <item m="1" x="219"/>
        <item x="0"/>
        <item x="2"/>
        <item x="1"/>
        <item x="4"/>
        <item x="5"/>
        <item x="3"/>
        <item x="7"/>
        <item x="8"/>
        <item x="6"/>
        <item x="10"/>
        <item x="11"/>
        <item x="9"/>
        <item x="13"/>
        <item x="14"/>
        <item x="12"/>
        <item x="16"/>
        <item x="17"/>
        <item x="15"/>
        <item x="19"/>
        <item x="20"/>
        <item x="18"/>
        <item x="22"/>
        <item x="23"/>
        <item x="21"/>
        <item x="25"/>
        <item x="26"/>
        <item x="24"/>
        <item x="28"/>
        <item x="29"/>
        <item x="27"/>
        <item x="31"/>
        <item x="32"/>
        <item x="30"/>
        <item x="34"/>
        <item x="35"/>
        <item x="33"/>
        <item x="37"/>
        <item x="38"/>
        <item x="36"/>
        <item x="40"/>
        <item x="41"/>
        <item x="39"/>
        <item x="43"/>
        <item x="44"/>
        <item x="42"/>
        <item x="46"/>
        <item x="47"/>
        <item x="45"/>
        <item x="49"/>
        <item x="50"/>
        <item x="48"/>
        <item x="52"/>
        <item x="53"/>
        <item x="51"/>
        <item x="55"/>
        <item x="56"/>
        <item x="54"/>
        <item x="58"/>
        <item x="59"/>
        <item x="57"/>
        <item x="61"/>
        <item x="62"/>
        <item x="60"/>
        <item x="64"/>
        <item x="65"/>
        <item x="63"/>
        <item x="67"/>
        <item x="68"/>
        <item x="66"/>
        <item x="70"/>
        <item x="71"/>
        <item x="69"/>
        <item x="73"/>
        <item x="74"/>
        <item x="72"/>
        <item x="76"/>
        <item x="77"/>
        <item x="75"/>
        <item x="79"/>
        <item x="80"/>
        <item x="78"/>
        <item x="82"/>
        <item x="83"/>
        <item x="81"/>
        <item x="85"/>
        <item x="86"/>
        <item x="84"/>
        <item x="88"/>
        <item x="89"/>
        <item x="87"/>
        <item x="91"/>
        <item x="92"/>
        <item x="90"/>
        <item x="94"/>
        <item x="95"/>
        <item x="93"/>
        <item x="97"/>
        <item x="98"/>
        <item x="96"/>
        <item x="100"/>
        <item x="101"/>
        <item x="99"/>
        <item x="103"/>
        <item x="104"/>
        <item x="102"/>
        <item x="106"/>
        <item x="107"/>
        <item x="105"/>
        <item x="109"/>
        <item x="110"/>
        <item x="108"/>
        <item x="112"/>
        <item x="113"/>
        <item x="111"/>
        <item x="115"/>
        <item x="116"/>
        <item x="114"/>
        <item x="118"/>
        <item x="119"/>
        <item x="117"/>
        <item x="121"/>
        <item x="122"/>
        <item x="120"/>
        <item x="124"/>
        <item x="125"/>
        <item x="123"/>
        <item x="127"/>
        <item x="128"/>
        <item x="126"/>
        <item x="130"/>
        <item x="131"/>
        <item x="129"/>
        <item x="133"/>
        <item x="134"/>
        <item x="132"/>
        <item x="136"/>
        <item x="137"/>
        <item x="135"/>
        <item x="139"/>
        <item x="140"/>
        <item x="138"/>
        <item x="142"/>
        <item x="143"/>
        <item x="141"/>
        <item x="145"/>
        <item x="146"/>
        <item x="144"/>
        <item x="148"/>
        <item x="149"/>
        <item x="147"/>
        <item x="151"/>
        <item x="152"/>
        <item x="150"/>
        <item x="154"/>
        <item x="155"/>
        <item x="153"/>
        <item x="157"/>
        <item x="158"/>
        <item x="156"/>
        <item x="160"/>
        <item x="161"/>
        <item x="159"/>
        <item x="163"/>
        <item x="164"/>
        <item x="162"/>
        <item x="166"/>
        <item x="167"/>
        <item x="165"/>
        <item x="169"/>
        <item x="170"/>
        <item x="168"/>
        <item x="172"/>
        <item x="173"/>
        <item x="171"/>
        <item x="175"/>
        <item x="176"/>
        <item x="174"/>
        <item x="178"/>
        <item x="179"/>
        <item x="177"/>
        <item x="181"/>
        <item x="182"/>
        <item x="180"/>
        <item x="184"/>
        <item x="185"/>
        <item x="183"/>
        <item x="187"/>
        <item x="188"/>
        <item x="186"/>
        <item x="190"/>
        <item x="191"/>
        <item x="189"/>
        <item x="193"/>
        <item x="194"/>
        <item x="192"/>
        <item x="196"/>
        <item x="197"/>
        <item x="195"/>
        <item x="199"/>
        <item x="200"/>
        <item x="198"/>
        <item x="202"/>
        <item x="203"/>
        <item x="201"/>
        <item x="205"/>
        <item x="206"/>
        <item x="204"/>
        <item x="208"/>
        <item x="209"/>
        <item x="207"/>
        <item x="211"/>
        <item x="212"/>
        <item x="210"/>
        <item x="214"/>
        <item x="215"/>
        <item x="213"/>
        <item x="217"/>
        <item x="218"/>
        <item x="216"/>
        <item t="default"/>
      </items>
    </pivotField>
    <pivotField dataField="1" showAll="0"/>
    <pivotField axis="axisRow" showAll="0">
      <items count="5">
        <item x="3"/>
        <item x="0"/>
        <item x="1"/>
        <item x="2"/>
        <item t="default"/>
      </items>
    </pivotField>
    <pivotField showAll="0"/>
    <pivotField showAll="0">
      <items count="4">
        <item x="2"/>
        <item x="1"/>
        <item x="0"/>
        <item t="default"/>
      </items>
    </pivotField>
    <pivotField numFmtId="1" showAll="0"/>
    <pivotField showAll="0">
      <items count="4">
        <item x="2"/>
        <item x="0"/>
        <item x="1"/>
        <item t="default"/>
      </items>
    </pivotField>
    <pivotField axis="axisRow" showAll="0">
      <items count="9">
        <item x="6"/>
        <item x="4"/>
        <item x="1"/>
        <item x="5"/>
        <item x="7"/>
        <item x="2"/>
        <item x="3"/>
        <item x="0"/>
        <item t="default"/>
      </items>
    </pivotField>
    <pivotField showAll="0"/>
    <pivotField showAll="0"/>
    <pivotField showAll="0"/>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x="0"/>
        <item t="default"/>
      </items>
    </pivotField>
    <pivotField showAll="0">
      <items count="5">
        <item sd="0" x="1"/>
        <item sd="0" x="2"/>
        <item sd="0" x="3"/>
        <item x="0"/>
        <item t="default"/>
      </items>
    </pivotField>
  </pivotFields>
  <rowFields count="2">
    <field x="5"/>
    <field x="10"/>
  </rowFields>
  <rowItems count="34">
    <i>
      <x/>
    </i>
    <i r="1">
      <x/>
    </i>
    <i r="1">
      <x v="1"/>
    </i>
    <i r="1">
      <x v="2"/>
    </i>
    <i r="1">
      <x v="3"/>
    </i>
    <i r="1">
      <x v="4"/>
    </i>
    <i r="1">
      <x v="5"/>
    </i>
    <i r="1">
      <x v="6"/>
    </i>
    <i r="1">
      <x v="7"/>
    </i>
    <i>
      <x v="1"/>
    </i>
    <i r="1">
      <x/>
    </i>
    <i r="1">
      <x v="1"/>
    </i>
    <i r="1">
      <x v="2"/>
    </i>
    <i r="1">
      <x v="3"/>
    </i>
    <i r="1">
      <x v="4"/>
    </i>
    <i r="1">
      <x v="5"/>
    </i>
    <i r="1">
      <x v="6"/>
    </i>
    <i r="1">
      <x v="7"/>
    </i>
    <i>
      <x v="2"/>
    </i>
    <i r="1">
      <x/>
    </i>
    <i r="1">
      <x v="1"/>
    </i>
    <i r="1">
      <x v="2"/>
    </i>
    <i r="1">
      <x v="3"/>
    </i>
    <i r="1">
      <x v="4"/>
    </i>
    <i r="1">
      <x v="5"/>
    </i>
    <i r="1">
      <x v="6"/>
    </i>
    <i r="1">
      <x v="7"/>
    </i>
    <i>
      <x v="3"/>
    </i>
    <i r="1">
      <x/>
    </i>
    <i r="1">
      <x v="1"/>
    </i>
    <i r="1">
      <x v="2"/>
    </i>
    <i r="1">
      <x v="5"/>
    </i>
    <i r="1">
      <x v="7"/>
    </i>
    <i t="grand">
      <x/>
    </i>
  </rowItems>
  <colItems count="1">
    <i/>
  </colItems>
  <dataFields count="1">
    <dataField name="Varp of Duration" fld="4" subtotal="varp" baseField="5"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294705-5F0E-4932-8D80-3966C5C9CBC8}" name="PivotTable1"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9">
  <location ref="J3:K7" firstHeaderRow="1" firstDataRow="1" firstDataCol="1"/>
  <pivotFields count="18">
    <pivotField showAll="0"/>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umFmtId="14" showAll="0">
      <items count="221">
        <item m="1" x="219"/>
        <item x="0"/>
        <item x="2"/>
        <item x="1"/>
        <item x="4"/>
        <item x="5"/>
        <item x="3"/>
        <item x="7"/>
        <item x="8"/>
        <item x="6"/>
        <item x="10"/>
        <item x="11"/>
        <item x="9"/>
        <item x="13"/>
        <item x="14"/>
        <item x="12"/>
        <item x="16"/>
        <item x="17"/>
        <item x="15"/>
        <item x="19"/>
        <item x="20"/>
        <item x="18"/>
        <item x="22"/>
        <item x="23"/>
        <item x="21"/>
        <item x="25"/>
        <item x="26"/>
        <item x="24"/>
        <item x="28"/>
        <item x="29"/>
        <item x="27"/>
        <item x="31"/>
        <item x="32"/>
        <item x="30"/>
        <item x="34"/>
        <item x="35"/>
        <item x="33"/>
        <item x="37"/>
        <item x="38"/>
        <item x="36"/>
        <item x="40"/>
        <item x="41"/>
        <item x="39"/>
        <item x="43"/>
        <item x="44"/>
        <item x="42"/>
        <item x="46"/>
        <item x="47"/>
        <item x="45"/>
        <item x="49"/>
        <item x="50"/>
        <item x="48"/>
        <item x="52"/>
        <item x="53"/>
        <item x="51"/>
        <item x="55"/>
        <item x="56"/>
        <item x="54"/>
        <item x="58"/>
        <item x="59"/>
        <item x="57"/>
        <item x="61"/>
        <item x="62"/>
        <item x="60"/>
        <item x="64"/>
        <item x="65"/>
        <item x="63"/>
        <item x="67"/>
        <item x="68"/>
        <item x="66"/>
        <item x="70"/>
        <item x="71"/>
        <item x="69"/>
        <item x="73"/>
        <item x="74"/>
        <item x="72"/>
        <item x="76"/>
        <item x="77"/>
        <item x="75"/>
        <item x="79"/>
        <item x="80"/>
        <item x="78"/>
        <item x="82"/>
        <item x="83"/>
        <item x="81"/>
        <item x="85"/>
        <item x="86"/>
        <item x="84"/>
        <item x="88"/>
        <item x="89"/>
        <item x="87"/>
        <item x="91"/>
        <item x="92"/>
        <item x="90"/>
        <item x="94"/>
        <item x="95"/>
        <item x="93"/>
        <item x="97"/>
        <item x="98"/>
        <item x="96"/>
        <item x="100"/>
        <item x="101"/>
        <item x="99"/>
        <item x="103"/>
        <item x="104"/>
        <item x="102"/>
        <item x="106"/>
        <item x="107"/>
        <item x="105"/>
        <item x="109"/>
        <item x="110"/>
        <item x="108"/>
        <item x="112"/>
        <item x="113"/>
        <item x="111"/>
        <item x="115"/>
        <item x="116"/>
        <item x="114"/>
        <item x="118"/>
        <item x="119"/>
        <item x="117"/>
        <item x="121"/>
        <item x="122"/>
        <item x="120"/>
        <item x="124"/>
        <item x="125"/>
        <item x="123"/>
        <item x="127"/>
        <item x="128"/>
        <item x="126"/>
        <item x="130"/>
        <item x="131"/>
        <item x="129"/>
        <item x="133"/>
        <item x="134"/>
        <item x="132"/>
        <item x="136"/>
        <item x="137"/>
        <item x="135"/>
        <item x="139"/>
        <item x="140"/>
        <item x="138"/>
        <item x="142"/>
        <item x="143"/>
        <item x="141"/>
        <item x="145"/>
        <item x="146"/>
        <item x="144"/>
        <item x="148"/>
        <item x="149"/>
        <item x="147"/>
        <item x="151"/>
        <item x="152"/>
        <item x="150"/>
        <item x="154"/>
        <item x="155"/>
        <item x="153"/>
        <item x="157"/>
        <item x="158"/>
        <item x="156"/>
        <item x="160"/>
        <item x="161"/>
        <item x="159"/>
        <item x="163"/>
        <item x="164"/>
        <item x="162"/>
        <item x="166"/>
        <item x="167"/>
        <item x="165"/>
        <item x="169"/>
        <item x="170"/>
        <item x="168"/>
        <item x="172"/>
        <item x="173"/>
        <item x="171"/>
        <item x="175"/>
        <item x="176"/>
        <item x="174"/>
        <item x="178"/>
        <item x="179"/>
        <item x="177"/>
        <item x="181"/>
        <item x="182"/>
        <item x="180"/>
        <item x="184"/>
        <item x="185"/>
        <item x="183"/>
        <item x="187"/>
        <item x="188"/>
        <item x="186"/>
        <item x="190"/>
        <item x="191"/>
        <item x="189"/>
        <item x="193"/>
        <item x="194"/>
        <item x="192"/>
        <item x="196"/>
        <item x="197"/>
        <item x="195"/>
        <item x="199"/>
        <item x="200"/>
        <item x="198"/>
        <item x="202"/>
        <item x="203"/>
        <item x="201"/>
        <item x="205"/>
        <item x="206"/>
        <item x="204"/>
        <item x="208"/>
        <item x="209"/>
        <item x="207"/>
        <item x="211"/>
        <item x="212"/>
        <item x="210"/>
        <item x="214"/>
        <item x="215"/>
        <item x="213"/>
        <item x="217"/>
        <item x="218"/>
        <item x="216"/>
        <item t="default"/>
      </items>
    </pivotField>
    <pivotField showAll="0"/>
    <pivotField showAll="0">
      <items count="5">
        <item x="3"/>
        <item x="0"/>
        <item x="1"/>
        <item x="2"/>
        <item t="default"/>
      </items>
    </pivotField>
    <pivotField showAll="0"/>
    <pivotField axis="axisRow" showAll="0">
      <items count="4">
        <item x="2"/>
        <item x="1"/>
        <item x="0"/>
        <item t="default"/>
      </items>
    </pivotField>
    <pivotField dataField="1" numFmtId="1" showAll="0"/>
    <pivotField showAll="0">
      <items count="4">
        <item x="2"/>
        <item x="0"/>
        <item x="1"/>
        <item t="default"/>
      </items>
    </pivotField>
    <pivotField showAll="0">
      <items count="9">
        <item x="6"/>
        <item x="4"/>
        <item x="1"/>
        <item x="5"/>
        <item x="7"/>
        <item x="2"/>
        <item x="3"/>
        <item x="0"/>
        <item t="default"/>
      </items>
    </pivotField>
    <pivotField showAll="0"/>
    <pivotField showAll="0"/>
    <pivotField showAll="0"/>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x="0"/>
        <item t="default"/>
      </items>
    </pivotField>
    <pivotField showAll="0">
      <items count="5">
        <item sd="0" x="1"/>
        <item sd="0" x="2"/>
        <item sd="0" x="3"/>
        <item x="0"/>
        <item t="default"/>
      </items>
    </pivotField>
  </pivotFields>
  <rowFields count="1">
    <field x="7"/>
  </rowFields>
  <rowItems count="4">
    <i>
      <x/>
    </i>
    <i>
      <x v="1"/>
    </i>
    <i>
      <x v="2"/>
    </i>
    <i t="grand">
      <x/>
    </i>
  </rowItems>
  <colItems count="1">
    <i/>
  </colItems>
  <dataFields count="1">
    <dataField name="Sum of Revenue" fld="8" baseField="0" baseItem="0" numFmtId="1"/>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5F15B6-F90F-449D-9204-3B315FBCFE39}"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3:B12" firstHeaderRow="1" firstDataRow="1" firstDataCol="1"/>
  <pivotFields count="18">
    <pivotField showAll="0"/>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umFmtId="14" showAll="0">
      <items count="221">
        <item m="1" x="219"/>
        <item x="0"/>
        <item x="2"/>
        <item x="1"/>
        <item x="4"/>
        <item x="5"/>
        <item x="3"/>
        <item x="7"/>
        <item x="8"/>
        <item x="6"/>
        <item x="10"/>
        <item x="11"/>
        <item x="9"/>
        <item x="13"/>
        <item x="14"/>
        <item x="12"/>
        <item x="16"/>
        <item x="17"/>
        <item x="15"/>
        <item x="19"/>
        <item x="20"/>
        <item x="18"/>
        <item x="22"/>
        <item x="23"/>
        <item x="21"/>
        <item x="25"/>
        <item x="26"/>
        <item x="24"/>
        <item x="28"/>
        <item x="29"/>
        <item x="27"/>
        <item x="31"/>
        <item x="32"/>
        <item x="30"/>
        <item x="34"/>
        <item x="35"/>
        <item x="33"/>
        <item x="37"/>
        <item x="38"/>
        <item x="36"/>
        <item x="40"/>
        <item x="41"/>
        <item x="39"/>
        <item x="43"/>
        <item x="44"/>
        <item x="42"/>
        <item x="46"/>
        <item x="47"/>
        <item x="45"/>
        <item x="49"/>
        <item x="50"/>
        <item x="48"/>
        <item x="52"/>
        <item x="53"/>
        <item x="51"/>
        <item x="55"/>
        <item x="56"/>
        <item x="54"/>
        <item x="58"/>
        <item x="59"/>
        <item x="57"/>
        <item x="61"/>
        <item x="62"/>
        <item x="60"/>
        <item x="64"/>
        <item x="65"/>
        <item x="63"/>
        <item x="67"/>
        <item x="68"/>
        <item x="66"/>
        <item x="70"/>
        <item x="71"/>
        <item x="69"/>
        <item x="73"/>
        <item x="74"/>
        <item x="72"/>
        <item x="76"/>
        <item x="77"/>
        <item x="75"/>
        <item x="79"/>
        <item x="80"/>
        <item x="78"/>
        <item x="82"/>
        <item x="83"/>
        <item x="81"/>
        <item x="85"/>
        <item x="86"/>
        <item x="84"/>
        <item x="88"/>
        <item x="89"/>
        <item x="87"/>
        <item x="91"/>
        <item x="92"/>
        <item x="90"/>
        <item x="94"/>
        <item x="95"/>
        <item x="93"/>
        <item x="97"/>
        <item x="98"/>
        <item x="96"/>
        <item x="100"/>
        <item x="101"/>
        <item x="99"/>
        <item x="103"/>
        <item x="104"/>
        <item x="102"/>
        <item x="106"/>
        <item x="107"/>
        <item x="105"/>
        <item x="109"/>
        <item x="110"/>
        <item x="108"/>
        <item x="112"/>
        <item x="113"/>
        <item x="111"/>
        <item x="115"/>
        <item x="116"/>
        <item x="114"/>
        <item x="118"/>
        <item x="119"/>
        <item x="117"/>
        <item x="121"/>
        <item x="122"/>
        <item x="120"/>
        <item x="124"/>
        <item x="125"/>
        <item x="123"/>
        <item x="127"/>
        <item x="128"/>
        <item x="126"/>
        <item x="130"/>
        <item x="131"/>
        <item x="129"/>
        <item x="133"/>
        <item x="134"/>
        <item x="132"/>
        <item x="136"/>
        <item x="137"/>
        <item x="135"/>
        <item x="139"/>
        <item x="140"/>
        <item x="138"/>
        <item x="142"/>
        <item x="143"/>
        <item x="141"/>
        <item x="145"/>
        <item x="146"/>
        <item x="144"/>
        <item x="148"/>
        <item x="149"/>
        <item x="147"/>
        <item x="151"/>
        <item x="152"/>
        <item x="150"/>
        <item x="154"/>
        <item x="155"/>
        <item x="153"/>
        <item x="157"/>
        <item x="158"/>
        <item x="156"/>
        <item x="160"/>
        <item x="161"/>
        <item x="159"/>
        <item x="163"/>
        <item x="164"/>
        <item x="162"/>
        <item x="166"/>
        <item x="167"/>
        <item x="165"/>
        <item x="169"/>
        <item x="170"/>
        <item x="168"/>
        <item x="172"/>
        <item x="173"/>
        <item x="171"/>
        <item x="175"/>
        <item x="176"/>
        <item x="174"/>
        <item x="178"/>
        <item x="179"/>
        <item x="177"/>
        <item x="181"/>
        <item x="182"/>
        <item x="180"/>
        <item x="184"/>
        <item x="185"/>
        <item x="183"/>
        <item x="187"/>
        <item x="188"/>
        <item x="186"/>
        <item x="190"/>
        <item x="191"/>
        <item x="189"/>
        <item x="193"/>
        <item x="194"/>
        <item x="192"/>
        <item x="196"/>
        <item x="197"/>
        <item x="195"/>
        <item x="199"/>
        <item x="200"/>
        <item x="198"/>
        <item x="202"/>
        <item x="203"/>
        <item x="201"/>
        <item x="205"/>
        <item x="206"/>
        <item x="204"/>
        <item x="208"/>
        <item x="209"/>
        <item x="207"/>
        <item x="211"/>
        <item x="212"/>
        <item x="210"/>
        <item x="214"/>
        <item x="215"/>
        <item x="213"/>
        <item x="217"/>
        <item x="218"/>
        <item x="216"/>
        <item t="default"/>
      </items>
    </pivotField>
    <pivotField showAll="0"/>
    <pivotField showAll="0">
      <items count="5">
        <item x="3"/>
        <item x="0"/>
        <item x="1"/>
        <item x="2"/>
        <item t="default"/>
      </items>
    </pivotField>
    <pivotField showAll="0"/>
    <pivotField showAll="0">
      <items count="4">
        <item x="2"/>
        <item x="1"/>
        <item x="0"/>
        <item t="default"/>
      </items>
    </pivotField>
    <pivotField dataField="1" numFmtId="1" showAll="0"/>
    <pivotField showAll="0">
      <items count="4">
        <item x="2"/>
        <item x="0"/>
        <item x="1"/>
        <item t="default"/>
      </items>
    </pivotField>
    <pivotField axis="axisRow" showAll="0">
      <items count="9">
        <item x="6"/>
        <item x="4"/>
        <item x="1"/>
        <item x="5"/>
        <item x="7"/>
        <item x="2"/>
        <item x="3"/>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1"/>
        <item x="2"/>
        <item x="3"/>
        <item x="0"/>
        <item t="default"/>
      </items>
    </pivotField>
  </pivotFields>
  <rowFields count="1">
    <field x="10"/>
  </rowFields>
  <rowItems count="9">
    <i>
      <x/>
    </i>
    <i>
      <x v="1"/>
    </i>
    <i>
      <x v="2"/>
    </i>
    <i>
      <x v="3"/>
    </i>
    <i>
      <x v="4"/>
    </i>
    <i>
      <x v="5"/>
    </i>
    <i>
      <x v="6"/>
    </i>
    <i>
      <x v="7"/>
    </i>
    <i t="grand">
      <x/>
    </i>
  </rowItems>
  <colItems count="1">
    <i/>
  </colItems>
  <dataFields count="1">
    <dataField name="Sum of Revenue" fld="8" baseField="0" baseItem="0" numFmtId="1"/>
  </dataFields>
  <formats count="1">
    <format dxfId="18">
      <pivotArea collapsedLevelsAreSubtotals="1" fieldPosition="0">
        <references count="1">
          <reference field="10" count="1">
            <x v="7"/>
          </reference>
        </references>
      </pivotArea>
    </format>
  </formats>
  <conditionalFormats count="1">
    <conditionalFormat type="all" priority="1">
      <pivotAreas count="1">
        <pivotArea type="data" collapsedLevelsAreSubtotals="1" fieldPosition="0">
          <references count="2">
            <reference field="4294967294" count="1" selected="0">
              <x v="0"/>
            </reference>
            <reference field="10" count="8">
              <x v="0"/>
              <x v="1"/>
              <x v="2"/>
              <x v="3"/>
              <x v="4"/>
              <x v="5"/>
              <x v="6"/>
              <x v="7"/>
            </reference>
          </references>
        </pivotArea>
      </pivotAreas>
    </conditionalFormat>
  </conditional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338773-7EB2-4BF3-8F6F-C90A4F14BAF2}"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G3:H7" firstHeaderRow="1" firstDataRow="1" firstDataCol="1"/>
  <pivotFields count="18">
    <pivotField dataField="1" showAll="0"/>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umFmtId="14" showAll="0">
      <items count="221">
        <item m="1" x="219"/>
        <item x="0"/>
        <item x="2"/>
        <item x="1"/>
        <item x="4"/>
        <item x="5"/>
        <item x="3"/>
        <item x="7"/>
        <item x="8"/>
        <item x="6"/>
        <item x="10"/>
        <item x="11"/>
        <item x="9"/>
        <item x="13"/>
        <item x="14"/>
        <item x="12"/>
        <item x="16"/>
        <item x="17"/>
        <item x="15"/>
        <item x="19"/>
        <item x="20"/>
        <item x="18"/>
        <item x="22"/>
        <item x="23"/>
        <item x="21"/>
        <item x="25"/>
        <item x="26"/>
        <item x="24"/>
        <item x="28"/>
        <item x="29"/>
        <item x="27"/>
        <item x="31"/>
        <item x="32"/>
        <item x="30"/>
        <item x="34"/>
        <item x="35"/>
        <item x="33"/>
        <item x="37"/>
        <item x="38"/>
        <item x="36"/>
        <item x="40"/>
        <item x="41"/>
        <item x="39"/>
        <item x="43"/>
        <item x="44"/>
        <item x="42"/>
        <item x="46"/>
        <item x="47"/>
        <item x="45"/>
        <item x="49"/>
        <item x="50"/>
        <item x="48"/>
        <item x="52"/>
        <item x="53"/>
        <item x="51"/>
        <item x="55"/>
        <item x="56"/>
        <item x="54"/>
        <item x="58"/>
        <item x="59"/>
        <item x="57"/>
        <item x="61"/>
        <item x="62"/>
        <item x="60"/>
        <item x="64"/>
        <item x="65"/>
        <item x="63"/>
        <item x="67"/>
        <item x="68"/>
        <item x="66"/>
        <item x="70"/>
        <item x="71"/>
        <item x="69"/>
        <item x="73"/>
        <item x="74"/>
        <item x="72"/>
        <item x="76"/>
        <item x="77"/>
        <item x="75"/>
        <item x="79"/>
        <item x="80"/>
        <item x="78"/>
        <item x="82"/>
        <item x="83"/>
        <item x="81"/>
        <item x="85"/>
        <item x="86"/>
        <item x="84"/>
        <item x="88"/>
        <item x="89"/>
        <item x="87"/>
        <item x="91"/>
        <item x="92"/>
        <item x="90"/>
        <item x="94"/>
        <item x="95"/>
        <item x="93"/>
        <item x="97"/>
        <item x="98"/>
        <item x="96"/>
        <item x="100"/>
        <item x="101"/>
        <item x="99"/>
        <item x="103"/>
        <item x="104"/>
        <item x="102"/>
        <item x="106"/>
        <item x="107"/>
        <item x="105"/>
        <item x="109"/>
        <item x="110"/>
        <item x="108"/>
        <item x="112"/>
        <item x="113"/>
        <item x="111"/>
        <item x="115"/>
        <item x="116"/>
        <item x="114"/>
        <item x="118"/>
        <item x="119"/>
        <item x="117"/>
        <item x="121"/>
        <item x="122"/>
        <item x="120"/>
        <item x="124"/>
        <item x="125"/>
        <item x="123"/>
        <item x="127"/>
        <item x="128"/>
        <item x="126"/>
        <item x="130"/>
        <item x="131"/>
        <item x="129"/>
        <item x="133"/>
        <item x="134"/>
        <item x="132"/>
        <item x="136"/>
        <item x="137"/>
        <item x="135"/>
        <item x="139"/>
        <item x="140"/>
        <item x="138"/>
        <item x="142"/>
        <item x="143"/>
        <item x="141"/>
        <item x="145"/>
        <item x="146"/>
        <item x="144"/>
        <item x="148"/>
        <item x="149"/>
        <item x="147"/>
        <item x="151"/>
        <item x="152"/>
        <item x="150"/>
        <item x="154"/>
        <item x="155"/>
        <item x="153"/>
        <item x="157"/>
        <item x="158"/>
        <item x="156"/>
        <item x="160"/>
        <item x="161"/>
        <item x="159"/>
        <item x="163"/>
        <item x="164"/>
        <item x="162"/>
        <item x="166"/>
        <item x="167"/>
        <item x="165"/>
        <item x="169"/>
        <item x="170"/>
        <item x="168"/>
        <item x="172"/>
        <item x="173"/>
        <item x="171"/>
        <item x="175"/>
        <item x="176"/>
        <item x="174"/>
        <item x="178"/>
        <item x="179"/>
        <item x="177"/>
        <item x="181"/>
        <item x="182"/>
        <item x="180"/>
        <item x="184"/>
        <item x="185"/>
        <item x="183"/>
        <item x="187"/>
        <item x="188"/>
        <item x="186"/>
        <item x="190"/>
        <item x="191"/>
        <item x="189"/>
        <item x="193"/>
        <item x="194"/>
        <item x="192"/>
        <item x="196"/>
        <item x="197"/>
        <item x="195"/>
        <item x="199"/>
        <item x="200"/>
        <item x="198"/>
        <item x="202"/>
        <item x="203"/>
        <item x="201"/>
        <item x="205"/>
        <item x="206"/>
        <item x="204"/>
        <item x="208"/>
        <item x="209"/>
        <item x="207"/>
        <item x="211"/>
        <item x="212"/>
        <item x="210"/>
        <item x="214"/>
        <item x="215"/>
        <item x="213"/>
        <item x="217"/>
        <item x="218"/>
        <item x="216"/>
        <item t="default"/>
      </items>
    </pivotField>
    <pivotField showAll="0"/>
    <pivotField showAll="0">
      <items count="5">
        <item x="3"/>
        <item x="0"/>
        <item x="1"/>
        <item x="2"/>
        <item t="default"/>
      </items>
    </pivotField>
    <pivotField showAll="0"/>
    <pivotField showAll="0">
      <items count="4">
        <item x="2"/>
        <item x="1"/>
        <item x="0"/>
        <item t="default"/>
      </items>
    </pivotField>
    <pivotField numFmtId="1" showAll="0"/>
    <pivotField axis="axisRow" showAll="0">
      <items count="4">
        <item x="2"/>
        <item x="0"/>
        <item x="1"/>
        <item t="default"/>
      </items>
    </pivotField>
    <pivotField showAll="0">
      <items count="9">
        <item x="6"/>
        <item x="4"/>
        <item x="1"/>
        <item x="5"/>
        <item x="7"/>
        <item x="2"/>
        <item x="3"/>
        <item x="0"/>
        <item t="default"/>
      </items>
    </pivotField>
    <pivotField showAll="0"/>
    <pivotField showAll="0"/>
    <pivotField showAll="0"/>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x="0"/>
        <item t="default"/>
      </items>
    </pivotField>
    <pivotField showAll="0">
      <items count="5">
        <item sd="0" x="1"/>
        <item sd="0" x="2"/>
        <item sd="0" x="3"/>
        <item x="0"/>
        <item t="default"/>
      </items>
    </pivotField>
  </pivotFields>
  <rowFields count="1">
    <field x="9"/>
  </rowFields>
  <rowItems count="4">
    <i>
      <x/>
    </i>
    <i>
      <x v="1"/>
    </i>
    <i>
      <x v="2"/>
    </i>
    <i t="grand">
      <x/>
    </i>
  </rowItems>
  <colItems count="1">
    <i/>
  </colItems>
  <dataFields count="1">
    <dataField name="Count of Booking ID"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type" xr10:uid="{3571B6E3-F587-496C-B610-3918673F4B5F}" sourceName="Room type">
  <pivotTables>
    <pivotTable tabId="2" name="PivotTable4"/>
    <pivotTable tabId="2" name="PivotTable1"/>
    <pivotTable tabId="2" name="PivotTable3"/>
    <pivotTable tabId="2" name="PivotTable5"/>
    <pivotTable tabId="2" name="PivotTable6"/>
  </pivotTables>
  <data>
    <tabular pivotCacheId="1338048539">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FBE4153A-9662-4ACC-9CD8-D6E91153335D}" sourceName=" Status">
  <pivotTables>
    <pivotTable tabId="2" name="PivotTable3"/>
    <pivotTable tabId="2" name="PivotTable1"/>
    <pivotTable tabId="2" name="PivotTable4"/>
    <pivotTable tabId="2" name="PivotTable5"/>
    <pivotTable tabId="2" name="PivotTable6"/>
  </pivotTables>
  <data>
    <tabular pivotCacheId="133804853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407FE33-BC04-43CC-A2DC-80CA9CE39FB9}" sourceName="Country">
  <pivotTables>
    <pivotTable tabId="2" name="PivotTable6"/>
    <pivotTable tabId="2" name="PivotTable1"/>
    <pivotTable tabId="2" name="PivotTable3"/>
    <pivotTable tabId="2" name="PivotTable4"/>
    <pivotTable tabId="2" name="PivotTable5"/>
  </pivotTables>
  <data>
    <tabular pivotCacheId="1338048539">
      <items count="8">
        <i x="6" s="1"/>
        <i x="4" s="1"/>
        <i x="1" s="1"/>
        <i x="5" s="1"/>
        <i x="7" s="1"/>
        <i x="2"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ource" xr10:uid="{0369121A-918C-465B-A65F-CE132DF9CA01}" sourceName="Booking Source">
  <pivotTables>
    <pivotTable tabId="2" name="PivotTable1"/>
    <pivotTable tabId="2" name="PivotTable3"/>
    <pivotTable tabId="2" name="PivotTable4"/>
    <pivotTable tabId="2" name="PivotTable5"/>
    <pivotTable tabId="2" name="PivotTable6"/>
  </pivotTables>
  <data>
    <tabular pivotCacheId="133804853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 type" xr10:uid="{97E8317D-7A6A-4362-BD92-B3BB9B4968D5}" cache="Slicer_Room_type" caption="Room type" rowHeight="251883"/>
  <slicer name=" Status 1" xr10:uid="{A57A4DDE-C4BC-4BE3-AC8D-80CC17C57CB8}" cache="Slicer_Status1" caption=" Status" rowHeight="251883"/>
  <slicer name="Country" xr10:uid="{5A58BB58-F188-4A04-A1F6-CAB7E80E3EBB}" cache="Slicer_Country" caption="Country" rowHeight="251883"/>
  <slicer name="Booking Source" xr10:uid="{C78297C2-D3A7-494E-8D50-E68A4B720E35}" cache="Slicer_Booking_Source" caption="Booking Sourc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AB044B-A4EC-4ACF-913E-54A51F8940F2}" name="Table1" displayName="Table1" ref="A1:L367" totalsRowShown="0" headerRowDxfId="17" dataDxfId="15" headerRowBorderDxfId="16" tableBorderDxfId="14" totalsRowBorderDxfId="13" headerRowCellStyle="Normal 2">
  <autoFilter ref="A1:L367" xr:uid="{1BAB044B-A4EC-4ACF-913E-54A51F8940F2}"/>
  <tableColumns count="12">
    <tableColumn id="1" xr3:uid="{EC8CA85A-3AD8-40A1-9CA3-922041C31AE4}" name="Booking ID" dataDxfId="12"/>
    <tableColumn id="2" xr3:uid="{1BFA6C41-B148-4C28-BC96-5E4C773B8974}" name="Guest name " dataDxfId="11" dataCellStyle="Normal 2"/>
    <tableColumn id="3" xr3:uid="{199AE378-9430-40BE-9FA0-4AF71D80F4C1}" name="Check-in date" dataDxfId="10" dataCellStyle="Normal 2"/>
    <tableColumn id="4" xr3:uid="{9B4ABC44-F2CA-4CAB-9C14-99E4C343C264}" name="Check-out Date" dataDxfId="9" dataCellStyle="Normal 2"/>
    <tableColumn id="12" xr3:uid="{8753EF97-6427-46BB-9FDC-326771E88D83}" name="Duration" dataDxfId="8" dataCellStyle="Normal 2">
      <calculatedColumnFormula>D2-C2</calculatedColumnFormula>
    </tableColumn>
    <tableColumn id="5" xr3:uid="{82682748-AD12-4330-82AC-9B21FAE80F73}" name="Room type" dataDxfId="7" dataCellStyle="Normal 2"/>
    <tableColumn id="6" xr3:uid="{A08100FB-E322-4F24-B7C9-D91AFC8A1C33}" name="Room Number" dataDxfId="6" dataCellStyle="Normal 2"/>
    <tableColumn id="7" xr3:uid="{CC60B0AF-F5ED-46E2-8A82-A19A6EDE1DB0}" name="Booking Source" dataDxfId="5" dataCellStyle="Normal 2"/>
    <tableColumn id="8" xr3:uid="{F4B647D9-4170-4F8C-90BC-A5927B9AEB0C}" name="Revenue" dataDxfId="4" dataCellStyle="Normal 2"/>
    <tableColumn id="9" xr3:uid="{F21E1FE6-A39E-4D59-B996-3FFB914BCF8E}" name=" Status" dataDxfId="3"/>
    <tableColumn id="10" xr3:uid="{EE56DB5B-A845-4630-924E-E08266C9A060}" name="Country" dataDxfId="2"/>
    <tableColumn id="11" xr3:uid="{89F268C3-0294-47CD-BA47-55DF68D1DB7E}" name="Payment Mode" dataDxfId="1"/>
  </tableColumns>
  <tableStyleInfo name="TableStyleMedium2" showFirstColumn="0" showLastColumn="0" showRowStripes="1" showColumnStripes="0"/>
</table>
</file>

<file path=xl/theme/theme1.xml><?xml version="1.0" encoding="utf-8"?>
<a:theme xmlns:a="http://schemas.openxmlformats.org/drawingml/2006/main" name="Retrospect">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heck_out_Date" xr10:uid="{A5F28990-481D-4215-89D4-C297023E0F45}" sourceName="Check-out Date">
  <pivotTables>
    <pivotTable tabId="2" name="PivotTable1"/>
  </pivotTables>
  <state minimalRefreshVersion="6" lastRefreshVersion="6" pivotCacheId="1338048539"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heck-out Date" xr10:uid="{7D5A8588-1145-4CE4-8C3C-8AD32EA7FDCC}" cache="NativeTimeline_Check_out_Date" caption="Check-out Date" level="2" selectionLevel="2" scrollPosition="2021-01-01T00:00:00" style="TimeSlicerStyleLight5"/>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1D16B-652B-472A-B7E5-E22AA34D3AEB}">
  <dimension ref="A1:AK50"/>
  <sheetViews>
    <sheetView tabSelected="1" zoomScale="60" zoomScaleNormal="60" workbookViewId="0">
      <selection activeCell="Y41" sqref="Y41"/>
    </sheetView>
  </sheetViews>
  <sheetFormatPr defaultRowHeight="14.5" x14ac:dyDescent="0.35"/>
  <cols>
    <col min="1" max="16384" width="8.7265625" style="22"/>
  </cols>
  <sheetData>
    <row r="1" spans="1:37" ht="14.5" customHeight="1" x14ac:dyDescent="0.35">
      <c r="A1" s="24"/>
      <c r="B1" s="24"/>
      <c r="C1" s="24"/>
      <c r="D1" s="24"/>
      <c r="E1" s="24"/>
      <c r="F1" s="24"/>
      <c r="G1" s="24"/>
      <c r="H1" s="26" t="s">
        <v>23</v>
      </c>
      <c r="I1" s="27"/>
      <c r="J1" s="27"/>
      <c r="K1" s="27"/>
      <c r="L1" s="27"/>
      <c r="M1" s="27"/>
      <c r="N1" s="27"/>
      <c r="O1" s="27"/>
      <c r="P1" s="27"/>
      <c r="Q1" s="27"/>
      <c r="R1" s="27"/>
      <c r="S1" s="27"/>
      <c r="T1" s="27"/>
      <c r="U1" s="27"/>
      <c r="V1" s="27"/>
      <c r="W1" s="28"/>
      <c r="X1" s="24"/>
      <c r="Y1" s="24"/>
      <c r="Z1" s="24"/>
      <c r="AA1" s="24"/>
      <c r="AB1" s="24"/>
      <c r="AC1" s="24"/>
      <c r="AD1" s="24"/>
      <c r="AE1" s="24"/>
      <c r="AF1" s="24"/>
      <c r="AG1" s="24"/>
      <c r="AH1" s="24"/>
      <c r="AI1" s="24"/>
      <c r="AJ1" s="24"/>
      <c r="AK1" s="24"/>
    </row>
    <row r="2" spans="1:37" ht="14.5" customHeight="1" x14ac:dyDescent="0.35">
      <c r="A2" s="24"/>
      <c r="B2" s="24"/>
      <c r="C2" s="24"/>
      <c r="D2" s="24"/>
      <c r="E2" s="24"/>
      <c r="F2" s="24"/>
      <c r="G2" s="24"/>
      <c r="H2" s="29"/>
      <c r="I2" s="30"/>
      <c r="J2" s="30"/>
      <c r="K2" s="30"/>
      <c r="L2" s="30"/>
      <c r="M2" s="30"/>
      <c r="N2" s="30"/>
      <c r="O2" s="30"/>
      <c r="P2" s="30"/>
      <c r="Q2" s="30"/>
      <c r="R2" s="30"/>
      <c r="S2" s="30"/>
      <c r="T2" s="30"/>
      <c r="U2" s="30"/>
      <c r="V2" s="30"/>
      <c r="W2" s="31"/>
      <c r="X2" s="24"/>
      <c r="Y2" s="24"/>
      <c r="Z2" s="24"/>
      <c r="AA2" s="24"/>
      <c r="AB2" s="24"/>
      <c r="AC2" s="24"/>
      <c r="AD2" s="24"/>
      <c r="AE2" s="24"/>
      <c r="AF2" s="24"/>
      <c r="AG2" s="24"/>
      <c r="AH2" s="24"/>
      <c r="AI2" s="24"/>
      <c r="AJ2" s="24"/>
      <c r="AK2" s="24"/>
    </row>
    <row r="3" spans="1:37" ht="14.5" customHeight="1" x14ac:dyDescent="0.35">
      <c r="A3" s="24"/>
      <c r="B3" s="24"/>
      <c r="C3" s="24"/>
      <c r="D3" s="24"/>
      <c r="E3" s="24"/>
      <c r="F3" s="24"/>
      <c r="G3" s="24"/>
      <c r="H3" s="29"/>
      <c r="I3" s="30"/>
      <c r="J3" s="30"/>
      <c r="K3" s="30"/>
      <c r="L3" s="30"/>
      <c r="M3" s="30"/>
      <c r="N3" s="30"/>
      <c r="O3" s="30"/>
      <c r="P3" s="30"/>
      <c r="Q3" s="30"/>
      <c r="R3" s="30"/>
      <c r="S3" s="30"/>
      <c r="T3" s="30"/>
      <c r="U3" s="30"/>
      <c r="V3" s="30"/>
      <c r="W3" s="31"/>
      <c r="X3" s="24"/>
      <c r="Y3" s="24"/>
      <c r="Z3" s="24"/>
      <c r="AA3" s="24"/>
      <c r="AB3" s="24"/>
      <c r="AC3" s="24"/>
      <c r="AD3" s="24"/>
      <c r="AE3" s="24"/>
      <c r="AF3" s="24"/>
      <c r="AG3" s="24"/>
      <c r="AH3" s="24"/>
      <c r="AI3" s="24"/>
      <c r="AJ3" s="24"/>
      <c r="AK3" s="24"/>
    </row>
    <row r="4" spans="1:37" ht="14.5" customHeight="1" thickBot="1" x14ac:dyDescent="0.4">
      <c r="A4" s="24"/>
      <c r="B4" s="24"/>
      <c r="C4" s="24"/>
      <c r="D4" s="24"/>
      <c r="E4" s="24"/>
      <c r="F4" s="24"/>
      <c r="G4" s="24"/>
      <c r="H4" s="32"/>
      <c r="I4" s="33"/>
      <c r="J4" s="33"/>
      <c r="K4" s="33"/>
      <c r="L4" s="33"/>
      <c r="M4" s="33"/>
      <c r="N4" s="33"/>
      <c r="O4" s="33"/>
      <c r="P4" s="33"/>
      <c r="Q4" s="33"/>
      <c r="R4" s="33"/>
      <c r="S4" s="33"/>
      <c r="T4" s="33"/>
      <c r="U4" s="33"/>
      <c r="V4" s="33"/>
      <c r="W4" s="34"/>
      <c r="X4" s="24"/>
      <c r="Y4" s="24"/>
      <c r="Z4" s="24"/>
      <c r="AA4" s="24"/>
      <c r="AB4" s="24"/>
      <c r="AC4" s="24"/>
      <c r="AD4" s="24"/>
      <c r="AE4" s="24"/>
      <c r="AF4" s="24"/>
      <c r="AG4" s="24"/>
      <c r="AH4" s="24"/>
      <c r="AI4" s="24"/>
      <c r="AJ4" s="24"/>
      <c r="AK4" s="24"/>
    </row>
    <row r="5" spans="1:37" ht="14.5" customHeight="1" x14ac:dyDescent="0.35">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row>
    <row r="6" spans="1:37" ht="14.5" customHeight="1" x14ac:dyDescent="0.35">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row>
    <row r="7" spans="1:37" ht="14.5" customHeight="1" x14ac:dyDescent="0.35">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row>
    <row r="8" spans="1:37" ht="14.5" customHeight="1" x14ac:dyDescent="0.35">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row>
    <row r="9" spans="1:37" ht="14.5" customHeight="1" x14ac:dyDescent="0.35">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row>
    <row r="10" spans="1:37" ht="14.5" customHeight="1" x14ac:dyDescent="0.35">
      <c r="A10" s="24"/>
      <c r="B10" s="24"/>
      <c r="C10" s="24"/>
      <c r="D10" s="24"/>
      <c r="E10" s="24"/>
      <c r="F10" s="24"/>
      <c r="G10" s="24"/>
      <c r="H10" s="24"/>
      <c r="I10" s="24"/>
      <c r="J10" s="25"/>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row>
    <row r="11" spans="1:37" ht="14.5" customHeight="1" x14ac:dyDescent="0.35">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row>
    <row r="12" spans="1:37" ht="14.5" customHeight="1" x14ac:dyDescent="0.35">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row>
    <row r="13" spans="1:37" ht="14.5" customHeight="1" x14ac:dyDescent="0.35">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row>
    <row r="14" spans="1:37" ht="14.5" customHeight="1" x14ac:dyDescent="0.35">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row>
    <row r="15" spans="1:37" ht="14.5" customHeight="1" x14ac:dyDescent="0.3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row>
    <row r="16" spans="1:37" ht="14.5" customHeight="1" x14ac:dyDescent="0.35">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row>
    <row r="17" spans="1:37" ht="14.5" customHeight="1" x14ac:dyDescent="0.35">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row>
    <row r="18" spans="1:37" ht="14.5" customHeight="1" x14ac:dyDescent="0.35">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row>
    <row r="19" spans="1:37" ht="14.5" customHeight="1" x14ac:dyDescent="0.35">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row>
    <row r="20" spans="1:37" ht="14.5" customHeight="1" x14ac:dyDescent="0.35">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row>
    <row r="21" spans="1:37" ht="14.5" customHeight="1" x14ac:dyDescent="0.35">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row>
    <row r="22" spans="1:37" ht="14.5" customHeight="1" x14ac:dyDescent="0.3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row>
    <row r="23" spans="1:37" ht="14.5" customHeight="1" x14ac:dyDescent="0.35">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row>
    <row r="24" spans="1:37" ht="14.5" customHeight="1" x14ac:dyDescent="0.35">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row>
    <row r="25" spans="1:37" ht="14.5" customHeight="1" x14ac:dyDescent="0.3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row>
    <row r="26" spans="1:37" ht="14.5" customHeight="1" x14ac:dyDescent="0.3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row>
    <row r="27" spans="1:37" ht="14.5" customHeight="1" x14ac:dyDescent="0.3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row>
    <row r="28" spans="1:37" ht="14.5" customHeight="1" x14ac:dyDescent="0.3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row>
    <row r="29" spans="1:37" ht="14.5" customHeight="1" x14ac:dyDescent="0.3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row>
    <row r="30" spans="1:37" ht="14.5" customHeight="1" x14ac:dyDescent="0.3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row>
    <row r="31" spans="1:37" ht="14.5" customHeight="1" x14ac:dyDescent="0.35">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row>
    <row r="32" spans="1:37" ht="14.5" customHeight="1" x14ac:dyDescent="0.35">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row>
    <row r="33" spans="1:37" ht="14.5" customHeight="1" x14ac:dyDescent="0.35">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row>
    <row r="34" spans="1:37" ht="14.5" customHeight="1" x14ac:dyDescent="0.3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row>
    <row r="35" spans="1:37" ht="14.5" customHeight="1" x14ac:dyDescent="0.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row>
    <row r="36" spans="1:37" ht="14.5" customHeight="1" x14ac:dyDescent="0.3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row>
    <row r="37" spans="1:37" ht="14.5" customHeight="1" x14ac:dyDescent="0.3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row>
    <row r="38" spans="1:37" ht="14.5" customHeight="1" x14ac:dyDescent="0.3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row>
    <row r="39" spans="1:37" ht="14.5" customHeight="1" x14ac:dyDescent="0.3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row>
    <row r="40" spans="1:37" ht="14.5" customHeight="1" x14ac:dyDescent="0.3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row>
    <row r="41" spans="1:37" ht="14.5" customHeight="1" x14ac:dyDescent="0.3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row>
    <row r="42" spans="1:37" x14ac:dyDescent="0.3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row>
    <row r="43" spans="1:37" x14ac:dyDescent="0.3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row>
    <row r="44" spans="1:37" x14ac:dyDescent="0.3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row>
    <row r="45" spans="1:37" x14ac:dyDescent="0.3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row>
    <row r="46" spans="1:37" x14ac:dyDescent="0.3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row>
    <row r="47" spans="1:37" x14ac:dyDescent="0.3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row>
    <row r="48" spans="1:37" x14ac:dyDescent="0.3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row>
    <row r="49" spans="1:37" x14ac:dyDescent="0.35">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row>
    <row r="50" spans="1:37" x14ac:dyDescent="0.3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row>
  </sheetData>
  <mergeCells count="1">
    <mergeCell ref="H1:W4"/>
  </mergeCells>
  <conditionalFormatting sqref="H1:W4">
    <cfRule type="dataBar" priority="1">
      <dataBar>
        <cfvo type="min"/>
        <cfvo type="max"/>
        <color rgb="FF638EC6"/>
      </dataBar>
      <extLst>
        <ext xmlns:x14="http://schemas.microsoft.com/office/spreadsheetml/2009/9/main" uri="{B025F937-C7B1-47D3-B67F-A62EFF666E3E}">
          <x14:id>{ED5B85FA-F992-4925-8B35-34A72ADB75AB}</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ED5B85FA-F992-4925-8B35-34A72ADB75AB}">
            <x14:dataBar minLength="0" maxLength="100" border="1" negativeBarBorderColorSameAsPositive="0">
              <x14:cfvo type="autoMin"/>
              <x14:cfvo type="autoMax"/>
              <x14:borderColor rgb="FF638EC6"/>
              <x14:negativeFillColor rgb="FFFF0000"/>
              <x14:negativeBorderColor rgb="FFFF0000"/>
              <x14:axisColor rgb="FF000000"/>
            </x14:dataBar>
          </x14:cfRule>
          <xm:sqref>H1:W4</xm:sqref>
        </x14:conditionalFormatting>
      </x14:conditionalFormatting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20A37-DECA-4E65-85BD-2D40C0792719}">
  <dimension ref="A3:N37"/>
  <sheetViews>
    <sheetView zoomScale="101" workbookViewId="0">
      <selection activeCell="E9" sqref="E9"/>
    </sheetView>
  </sheetViews>
  <sheetFormatPr defaultRowHeight="14.5" x14ac:dyDescent="0.35"/>
  <cols>
    <col min="1" max="1" width="12.36328125" bestFit="1" customWidth="1"/>
    <col min="2" max="2" width="14.36328125" customWidth="1"/>
    <col min="4" max="4" width="12.36328125" bestFit="1" customWidth="1"/>
    <col min="5" max="5" width="17.7265625" bestFit="1" customWidth="1"/>
    <col min="6" max="6" width="17.26953125" customWidth="1"/>
    <col min="7" max="7" width="12.36328125" bestFit="1" customWidth="1"/>
    <col min="8" max="8" width="17.7265625" bestFit="1" customWidth="1"/>
    <col min="10" max="10" width="12.36328125" bestFit="1" customWidth="1"/>
    <col min="11" max="11" width="14.36328125" customWidth="1"/>
    <col min="13" max="13" width="14.7265625" bestFit="1" customWidth="1"/>
    <col min="14" max="14" width="15" bestFit="1" customWidth="1"/>
  </cols>
  <sheetData>
    <row r="3" spans="1:14" x14ac:dyDescent="0.35">
      <c r="A3" s="2" t="s">
        <v>0</v>
      </c>
      <c r="B3" t="s">
        <v>20</v>
      </c>
      <c r="D3" s="2" t="s">
        <v>0</v>
      </c>
      <c r="E3" t="s">
        <v>21</v>
      </c>
      <c r="G3" s="2" t="s">
        <v>0</v>
      </c>
      <c r="H3" t="s">
        <v>21</v>
      </c>
      <c r="J3" s="2" t="s">
        <v>0</v>
      </c>
      <c r="K3" t="s">
        <v>20</v>
      </c>
      <c r="M3" s="2" t="s">
        <v>0</v>
      </c>
      <c r="N3" t="s">
        <v>22</v>
      </c>
    </row>
    <row r="4" spans="1:14" x14ac:dyDescent="0.35">
      <c r="A4" s="3" t="s">
        <v>18</v>
      </c>
      <c r="B4" s="1">
        <v>24990</v>
      </c>
      <c r="D4" s="3" t="s">
        <v>5</v>
      </c>
      <c r="E4">
        <v>64</v>
      </c>
      <c r="G4" s="3" t="s">
        <v>11</v>
      </c>
      <c r="H4">
        <v>19</v>
      </c>
      <c r="J4" s="3" t="s">
        <v>7</v>
      </c>
      <c r="K4" s="1">
        <v>77700</v>
      </c>
      <c r="M4" s="3" t="s">
        <v>5</v>
      </c>
      <c r="N4">
        <v>4.078125</v>
      </c>
    </row>
    <row r="5" spans="1:14" x14ac:dyDescent="0.35">
      <c r="A5" s="3" t="s">
        <v>16</v>
      </c>
      <c r="B5" s="1">
        <v>41830</v>
      </c>
      <c r="D5" s="3" t="s">
        <v>2</v>
      </c>
      <c r="E5">
        <v>173</v>
      </c>
      <c r="G5" s="3" t="s">
        <v>9</v>
      </c>
      <c r="H5">
        <v>269</v>
      </c>
      <c r="J5" s="3" t="s">
        <v>8</v>
      </c>
      <c r="K5" s="1">
        <v>231000</v>
      </c>
      <c r="M5" s="4" t="s">
        <v>18</v>
      </c>
      <c r="N5">
        <v>0</v>
      </c>
    </row>
    <row r="6" spans="1:14" x14ac:dyDescent="0.35">
      <c r="A6" s="3" t="s">
        <v>13</v>
      </c>
      <c r="B6" s="1">
        <v>67030</v>
      </c>
      <c r="D6" s="3" t="s">
        <v>3</v>
      </c>
      <c r="E6">
        <v>89</v>
      </c>
      <c r="G6" s="3" t="s">
        <v>10</v>
      </c>
      <c r="H6">
        <v>78</v>
      </c>
      <c r="J6" s="3" t="s">
        <v>6</v>
      </c>
      <c r="K6" s="1">
        <v>26840</v>
      </c>
      <c r="M6" s="4" t="s">
        <v>16</v>
      </c>
      <c r="N6">
        <v>0</v>
      </c>
    </row>
    <row r="7" spans="1:14" x14ac:dyDescent="0.35">
      <c r="A7" s="3" t="s">
        <v>17</v>
      </c>
      <c r="B7" s="1">
        <v>26370</v>
      </c>
      <c r="D7" s="3" t="s">
        <v>4</v>
      </c>
      <c r="E7">
        <v>40</v>
      </c>
      <c r="G7" s="3" t="s">
        <v>1</v>
      </c>
      <c r="H7">
        <v>366</v>
      </c>
      <c r="J7" s="3" t="s">
        <v>1</v>
      </c>
      <c r="K7" s="1">
        <v>335540</v>
      </c>
      <c r="M7" s="4" t="s">
        <v>13</v>
      </c>
      <c r="N7">
        <v>1.25</v>
      </c>
    </row>
    <row r="8" spans="1:14" x14ac:dyDescent="0.35">
      <c r="A8" s="3" t="s">
        <v>19</v>
      </c>
      <c r="B8" s="1">
        <v>30300</v>
      </c>
      <c r="D8" s="3" t="s">
        <v>1</v>
      </c>
      <c r="E8">
        <v>366</v>
      </c>
      <c r="M8" s="4" t="s">
        <v>17</v>
      </c>
      <c r="N8">
        <v>0</v>
      </c>
    </row>
    <row r="9" spans="1:14" x14ac:dyDescent="0.35">
      <c r="A9" s="3" t="s">
        <v>14</v>
      </c>
      <c r="B9" s="1">
        <v>34350</v>
      </c>
      <c r="M9" s="4" t="s">
        <v>19</v>
      </c>
      <c r="N9">
        <v>0</v>
      </c>
    </row>
    <row r="10" spans="1:14" x14ac:dyDescent="0.35">
      <c r="A10" s="3" t="s">
        <v>15</v>
      </c>
      <c r="B10" s="1">
        <v>42370</v>
      </c>
      <c r="M10" s="4" t="s">
        <v>14</v>
      </c>
      <c r="N10">
        <v>0</v>
      </c>
    </row>
    <row r="11" spans="1:14" x14ac:dyDescent="0.35">
      <c r="A11" s="3" t="s">
        <v>12</v>
      </c>
      <c r="B11" s="23">
        <v>68300</v>
      </c>
      <c r="M11" s="4" t="s">
        <v>15</v>
      </c>
      <c r="N11">
        <v>0</v>
      </c>
    </row>
    <row r="12" spans="1:14" x14ac:dyDescent="0.35">
      <c r="A12" s="3" t="s">
        <v>1</v>
      </c>
      <c r="B12" s="1">
        <v>335540</v>
      </c>
      <c r="M12" s="4" t="s">
        <v>12</v>
      </c>
      <c r="N12">
        <v>0.1388888888888889</v>
      </c>
    </row>
    <row r="13" spans="1:14" x14ac:dyDescent="0.35">
      <c r="M13" s="3" t="s">
        <v>2</v>
      </c>
      <c r="N13">
        <v>4.2536001871094928</v>
      </c>
    </row>
    <row r="14" spans="1:14" x14ac:dyDescent="0.35">
      <c r="M14" s="4" t="s">
        <v>18</v>
      </c>
      <c r="N14">
        <v>0</v>
      </c>
    </row>
    <row r="15" spans="1:14" x14ac:dyDescent="0.35">
      <c r="M15" s="4" t="s">
        <v>16</v>
      </c>
      <c r="N15">
        <v>0</v>
      </c>
    </row>
    <row r="16" spans="1:14" x14ac:dyDescent="0.35">
      <c r="M16" s="4" t="s">
        <v>13</v>
      </c>
      <c r="N16">
        <v>2.1914672216441207</v>
      </c>
    </row>
    <row r="17" spans="13:14" x14ac:dyDescent="0.35">
      <c r="M17" s="4" t="s">
        <v>17</v>
      </c>
      <c r="N17">
        <v>0</v>
      </c>
    </row>
    <row r="18" spans="13:14" x14ac:dyDescent="0.35">
      <c r="M18" s="4" t="s">
        <v>19</v>
      </c>
      <c r="N18">
        <v>0</v>
      </c>
    </row>
    <row r="19" spans="13:14" x14ac:dyDescent="0.35">
      <c r="M19" s="4" t="s">
        <v>14</v>
      </c>
      <c r="N19">
        <v>0</v>
      </c>
    </row>
    <row r="20" spans="13:14" x14ac:dyDescent="0.35">
      <c r="M20" s="4" t="s">
        <v>15</v>
      </c>
      <c r="N20">
        <v>0</v>
      </c>
    </row>
    <row r="21" spans="13:14" x14ac:dyDescent="0.35">
      <c r="M21" s="4" t="s">
        <v>12</v>
      </c>
      <c r="N21">
        <v>0.54437869822485208</v>
      </c>
    </row>
    <row r="22" spans="13:14" x14ac:dyDescent="0.35">
      <c r="M22" s="3" t="s">
        <v>3</v>
      </c>
      <c r="N22">
        <v>4.3360686781971971</v>
      </c>
    </row>
    <row r="23" spans="13:14" x14ac:dyDescent="0.35">
      <c r="M23" s="4" t="s">
        <v>18</v>
      </c>
      <c r="N23">
        <v>0</v>
      </c>
    </row>
    <row r="24" spans="13:14" x14ac:dyDescent="0.35">
      <c r="M24" s="4" t="s">
        <v>16</v>
      </c>
      <c r="N24">
        <v>0</v>
      </c>
    </row>
    <row r="25" spans="13:14" x14ac:dyDescent="0.35">
      <c r="M25" s="4" t="s">
        <v>13</v>
      </c>
      <c r="N25">
        <v>2.0826446280991737</v>
      </c>
    </row>
    <row r="26" spans="13:14" x14ac:dyDescent="0.35">
      <c r="M26" s="4" t="s">
        <v>17</v>
      </c>
      <c r="N26">
        <v>0</v>
      </c>
    </row>
    <row r="27" spans="13:14" x14ac:dyDescent="0.35">
      <c r="M27" s="4" t="s">
        <v>19</v>
      </c>
      <c r="N27">
        <v>0</v>
      </c>
    </row>
    <row r="28" spans="13:14" x14ac:dyDescent="0.35">
      <c r="M28" s="4" t="s">
        <v>14</v>
      </c>
      <c r="N28">
        <v>0</v>
      </c>
    </row>
    <row r="29" spans="13:14" x14ac:dyDescent="0.35">
      <c r="M29" s="4" t="s">
        <v>15</v>
      </c>
      <c r="N29">
        <v>0</v>
      </c>
    </row>
    <row r="30" spans="13:14" x14ac:dyDescent="0.35">
      <c r="M30" s="4" t="s">
        <v>12</v>
      </c>
      <c r="N30">
        <v>0.24489795918367346</v>
      </c>
    </row>
    <row r="31" spans="13:14" x14ac:dyDescent="0.35">
      <c r="M31" s="3" t="s">
        <v>4</v>
      </c>
      <c r="N31">
        <v>4.0975000000000001</v>
      </c>
    </row>
    <row r="32" spans="13:14" x14ac:dyDescent="0.35">
      <c r="M32" s="4" t="s">
        <v>18</v>
      </c>
      <c r="N32">
        <v>0</v>
      </c>
    </row>
    <row r="33" spans="13:14" x14ac:dyDescent="0.35">
      <c r="M33" s="4" t="s">
        <v>16</v>
      </c>
      <c r="N33">
        <v>0</v>
      </c>
    </row>
    <row r="34" spans="13:14" x14ac:dyDescent="0.35">
      <c r="M34" s="4" t="s">
        <v>13</v>
      </c>
      <c r="N34">
        <v>0</v>
      </c>
    </row>
    <row r="35" spans="13:14" x14ac:dyDescent="0.35">
      <c r="M35" s="4" t="s">
        <v>14</v>
      </c>
      <c r="N35">
        <v>0</v>
      </c>
    </row>
    <row r="36" spans="13:14" x14ac:dyDescent="0.35">
      <c r="M36" s="4" t="s">
        <v>12</v>
      </c>
      <c r="N36">
        <v>0</v>
      </c>
    </row>
    <row r="37" spans="13:14" x14ac:dyDescent="0.35">
      <c r="M37" s="3" t="s">
        <v>1</v>
      </c>
      <c r="N37">
        <v>4.2353907253127892</v>
      </c>
    </row>
  </sheetData>
  <conditionalFormatting pivot="1" sqref="B4:B11">
    <cfRule type="top10" dxfId="19" priority="1" rank="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26E9F-32D3-45B3-9B90-979174641D85}">
  <dimension ref="A1:L367"/>
  <sheetViews>
    <sheetView zoomScale="78" workbookViewId="0">
      <selection activeCell="B6" sqref="B6"/>
    </sheetView>
  </sheetViews>
  <sheetFormatPr defaultRowHeight="14.5" x14ac:dyDescent="0.35"/>
  <cols>
    <col min="1" max="1" width="12.26953125" customWidth="1"/>
    <col min="2" max="2" width="18.81640625" customWidth="1"/>
    <col min="3" max="3" width="20.453125" customWidth="1"/>
    <col min="4" max="5" width="22.26953125" customWidth="1"/>
    <col min="6" max="6" width="16.6328125" customWidth="1"/>
    <col min="7" max="7" width="20.7265625" customWidth="1"/>
    <col min="8" max="8" width="22" customWidth="1"/>
    <col min="9" max="9" width="14.6328125" customWidth="1"/>
    <col min="10" max="10" width="12.81640625" customWidth="1"/>
    <col min="11" max="11" width="13.90625" customWidth="1"/>
    <col min="12" max="12" width="21.1796875" customWidth="1"/>
  </cols>
  <sheetData>
    <row r="1" spans="1:12" ht="18.5" x14ac:dyDescent="0.45">
      <c r="A1" s="6" t="s">
        <v>24</v>
      </c>
      <c r="B1" s="7" t="s">
        <v>25</v>
      </c>
      <c r="C1" s="7" t="s">
        <v>26</v>
      </c>
      <c r="D1" s="7" t="s">
        <v>27</v>
      </c>
      <c r="E1" s="7" t="s">
        <v>410</v>
      </c>
      <c r="F1" s="7" t="s">
        <v>28</v>
      </c>
      <c r="G1" s="7" t="s">
        <v>29</v>
      </c>
      <c r="H1" s="7" t="s">
        <v>30</v>
      </c>
      <c r="I1" s="8" t="s">
        <v>31</v>
      </c>
      <c r="J1" s="9" t="s">
        <v>32</v>
      </c>
      <c r="K1" s="9" t="s">
        <v>33</v>
      </c>
      <c r="L1" s="10" t="s">
        <v>34</v>
      </c>
    </row>
    <row r="2" spans="1:12" ht="18.5" x14ac:dyDescent="0.45">
      <c r="A2" s="5" t="s">
        <v>35</v>
      </c>
      <c r="B2" s="11" t="s">
        <v>36</v>
      </c>
      <c r="C2" s="12">
        <v>44197</v>
      </c>
      <c r="D2" s="12">
        <f>C2+5</f>
        <v>44202</v>
      </c>
      <c r="E2" s="11">
        <f t="shared" ref="E2:E65" si="0">D2-C2</f>
        <v>5</v>
      </c>
      <c r="F2" s="11" t="s">
        <v>2</v>
      </c>
      <c r="G2" s="11">
        <v>101</v>
      </c>
      <c r="H2" s="11" t="s">
        <v>6</v>
      </c>
      <c r="I2" s="13">
        <v>210</v>
      </c>
      <c r="J2" s="14" t="s">
        <v>9</v>
      </c>
      <c r="K2" s="14" t="s">
        <v>12</v>
      </c>
      <c r="L2" s="15" t="s">
        <v>37</v>
      </c>
    </row>
    <row r="3" spans="1:12" ht="18.5" x14ac:dyDescent="0.45">
      <c r="A3" s="5" t="s">
        <v>38</v>
      </c>
      <c r="B3" s="11" t="s">
        <v>39</v>
      </c>
      <c r="C3" s="12">
        <v>44198</v>
      </c>
      <c r="D3" s="12">
        <f>C3+7</f>
        <v>44205</v>
      </c>
      <c r="E3" s="11">
        <f t="shared" si="0"/>
        <v>7</v>
      </c>
      <c r="F3" s="11" t="s">
        <v>3</v>
      </c>
      <c r="G3" s="11">
        <v>102</v>
      </c>
      <c r="H3" s="11" t="s">
        <v>8</v>
      </c>
      <c r="I3" s="13">
        <v>2100</v>
      </c>
      <c r="J3" s="14" t="s">
        <v>9</v>
      </c>
      <c r="K3" s="14" t="s">
        <v>13</v>
      </c>
      <c r="L3" s="15" t="s">
        <v>40</v>
      </c>
    </row>
    <row r="4" spans="1:12" ht="18.5" x14ac:dyDescent="0.45">
      <c r="A4" s="5" t="s">
        <v>41</v>
      </c>
      <c r="B4" s="11" t="s">
        <v>42</v>
      </c>
      <c r="C4" s="12">
        <v>44199</v>
      </c>
      <c r="D4" s="12">
        <f>C4+3</f>
        <v>44202</v>
      </c>
      <c r="E4" s="11">
        <f t="shared" si="0"/>
        <v>3</v>
      </c>
      <c r="F4" s="11" t="s">
        <v>2</v>
      </c>
      <c r="G4" s="11">
        <v>201</v>
      </c>
      <c r="H4" s="11" t="s">
        <v>7</v>
      </c>
      <c r="I4" s="13">
        <v>1200</v>
      </c>
      <c r="J4" s="14" t="s">
        <v>9</v>
      </c>
      <c r="K4" s="14" t="s">
        <v>14</v>
      </c>
      <c r="L4" s="15" t="s">
        <v>43</v>
      </c>
    </row>
    <row r="5" spans="1:12" ht="18.5" x14ac:dyDescent="0.45">
      <c r="A5" s="5" t="s">
        <v>44</v>
      </c>
      <c r="B5" s="11" t="s">
        <v>45</v>
      </c>
      <c r="C5" s="12">
        <v>44200</v>
      </c>
      <c r="D5" s="12">
        <f>C5+4</f>
        <v>44204</v>
      </c>
      <c r="E5" s="11">
        <f t="shared" si="0"/>
        <v>4</v>
      </c>
      <c r="F5" s="11" t="s">
        <v>3</v>
      </c>
      <c r="G5" s="11">
        <v>103</v>
      </c>
      <c r="H5" s="11" t="s">
        <v>8</v>
      </c>
      <c r="I5" s="13">
        <v>1500</v>
      </c>
      <c r="J5" s="14" t="s">
        <v>9</v>
      </c>
      <c r="K5" s="14" t="s">
        <v>15</v>
      </c>
      <c r="L5" s="15" t="s">
        <v>37</v>
      </c>
    </row>
    <row r="6" spans="1:12" ht="18.5" x14ac:dyDescent="0.45">
      <c r="A6" s="5" t="s">
        <v>46</v>
      </c>
      <c r="B6" s="11" t="s">
        <v>47</v>
      </c>
      <c r="C6" s="12">
        <v>44201</v>
      </c>
      <c r="D6" s="12">
        <f>C6+1</f>
        <v>44202</v>
      </c>
      <c r="E6" s="11">
        <f t="shared" si="0"/>
        <v>1</v>
      </c>
      <c r="F6" s="11" t="s">
        <v>2</v>
      </c>
      <c r="G6" s="11">
        <v>104</v>
      </c>
      <c r="H6" s="11" t="s">
        <v>7</v>
      </c>
      <c r="I6" s="13">
        <v>300</v>
      </c>
      <c r="J6" s="14" t="s">
        <v>9</v>
      </c>
      <c r="K6" s="14" t="s">
        <v>16</v>
      </c>
      <c r="L6" s="15" t="s">
        <v>40</v>
      </c>
    </row>
    <row r="7" spans="1:12" ht="18.5" x14ac:dyDescent="0.45">
      <c r="A7" s="5" t="s">
        <v>48</v>
      </c>
      <c r="B7" s="11" t="s">
        <v>49</v>
      </c>
      <c r="C7" s="12">
        <v>44202</v>
      </c>
      <c r="D7" s="12">
        <f t="shared" ref="D7" si="1">C7+2</f>
        <v>44204</v>
      </c>
      <c r="E7" s="11">
        <f t="shared" si="0"/>
        <v>2</v>
      </c>
      <c r="F7" s="11" t="s">
        <v>2</v>
      </c>
      <c r="G7" s="11">
        <v>202</v>
      </c>
      <c r="H7" s="11" t="s">
        <v>6</v>
      </c>
      <c r="I7" s="13">
        <v>190</v>
      </c>
      <c r="J7" s="14" t="s">
        <v>9</v>
      </c>
      <c r="K7" s="14" t="s">
        <v>17</v>
      </c>
      <c r="L7" s="15" t="s">
        <v>43</v>
      </c>
    </row>
    <row r="8" spans="1:12" ht="18.5" x14ac:dyDescent="0.45">
      <c r="A8" s="5" t="s">
        <v>50</v>
      </c>
      <c r="B8" s="11" t="s">
        <v>36</v>
      </c>
      <c r="C8" s="12">
        <v>44203</v>
      </c>
      <c r="D8" s="12">
        <f t="shared" ref="D8" si="2">C8+7</f>
        <v>44210</v>
      </c>
      <c r="E8" s="11">
        <f t="shared" si="0"/>
        <v>7</v>
      </c>
      <c r="F8" s="11" t="s">
        <v>2</v>
      </c>
      <c r="G8" s="11">
        <v>105</v>
      </c>
      <c r="H8" s="11" t="s">
        <v>6</v>
      </c>
      <c r="I8" s="13">
        <v>210</v>
      </c>
      <c r="J8" s="14" t="s">
        <v>9</v>
      </c>
      <c r="K8" s="14" t="s">
        <v>18</v>
      </c>
      <c r="L8" s="15" t="s">
        <v>37</v>
      </c>
    </row>
    <row r="9" spans="1:12" ht="18.5" x14ac:dyDescent="0.45">
      <c r="A9" s="5" t="s">
        <v>51</v>
      </c>
      <c r="B9" s="11" t="s">
        <v>39</v>
      </c>
      <c r="C9" s="12">
        <v>44204</v>
      </c>
      <c r="D9" s="12">
        <f t="shared" ref="D9" si="3">C9+3</f>
        <v>44207</v>
      </c>
      <c r="E9" s="11">
        <f t="shared" si="0"/>
        <v>3</v>
      </c>
      <c r="F9" s="11" t="s">
        <v>3</v>
      </c>
      <c r="G9" s="11">
        <v>203</v>
      </c>
      <c r="H9" s="11" t="s">
        <v>8</v>
      </c>
      <c r="I9" s="13">
        <v>2100</v>
      </c>
      <c r="J9" s="14" t="s">
        <v>9</v>
      </c>
      <c r="K9" s="14" t="s">
        <v>19</v>
      </c>
      <c r="L9" s="15" t="s">
        <v>40</v>
      </c>
    </row>
    <row r="10" spans="1:12" ht="18.5" x14ac:dyDescent="0.45">
      <c r="A10" s="5" t="s">
        <v>52</v>
      </c>
      <c r="B10" s="11" t="s">
        <v>42</v>
      </c>
      <c r="C10" s="12">
        <v>44205</v>
      </c>
      <c r="D10" s="12">
        <f t="shared" ref="D10" si="4">C10+4</f>
        <v>44209</v>
      </c>
      <c r="E10" s="11">
        <f t="shared" si="0"/>
        <v>4</v>
      </c>
      <c r="F10" s="11" t="s">
        <v>3</v>
      </c>
      <c r="G10" s="11">
        <v>106</v>
      </c>
      <c r="H10" s="11" t="s">
        <v>7</v>
      </c>
      <c r="I10" s="13">
        <v>1200</v>
      </c>
      <c r="J10" s="14" t="s">
        <v>9</v>
      </c>
      <c r="K10" s="14" t="s">
        <v>13</v>
      </c>
      <c r="L10" s="15" t="s">
        <v>43</v>
      </c>
    </row>
    <row r="11" spans="1:12" ht="18.5" x14ac:dyDescent="0.45">
      <c r="A11" s="5" t="s">
        <v>53</v>
      </c>
      <c r="B11" s="11" t="s">
        <v>45</v>
      </c>
      <c r="C11" s="12">
        <v>44206</v>
      </c>
      <c r="D11" s="12">
        <f t="shared" ref="D11" si="5">C11+1</f>
        <v>44207</v>
      </c>
      <c r="E11" s="11">
        <f t="shared" si="0"/>
        <v>1</v>
      </c>
      <c r="F11" s="11" t="s">
        <v>2</v>
      </c>
      <c r="G11" s="11">
        <v>108</v>
      </c>
      <c r="H11" s="11" t="s">
        <v>8</v>
      </c>
      <c r="I11" s="13">
        <v>1500</v>
      </c>
      <c r="J11" s="14" t="s">
        <v>9</v>
      </c>
      <c r="K11" s="14" t="s">
        <v>12</v>
      </c>
      <c r="L11" s="15" t="s">
        <v>37</v>
      </c>
    </row>
    <row r="12" spans="1:12" ht="18.5" x14ac:dyDescent="0.45">
      <c r="A12" s="5" t="s">
        <v>54</v>
      </c>
      <c r="B12" s="11" t="s">
        <v>47</v>
      </c>
      <c r="C12" s="12">
        <v>44207</v>
      </c>
      <c r="D12" s="12">
        <f t="shared" ref="D12" si="6">C12+2</f>
        <v>44209</v>
      </c>
      <c r="E12" s="11">
        <f t="shared" si="0"/>
        <v>2</v>
      </c>
      <c r="F12" s="11" t="s">
        <v>2</v>
      </c>
      <c r="G12" s="13">
        <v>140.333333333333</v>
      </c>
      <c r="H12" s="11" t="s">
        <v>7</v>
      </c>
      <c r="I12" s="13">
        <v>300</v>
      </c>
      <c r="J12" s="14" t="s">
        <v>9</v>
      </c>
      <c r="K12" s="14" t="s">
        <v>12</v>
      </c>
      <c r="L12" s="15" t="s">
        <v>40</v>
      </c>
    </row>
    <row r="13" spans="1:12" ht="18.5" x14ac:dyDescent="0.45">
      <c r="A13" s="5" t="s">
        <v>55</v>
      </c>
      <c r="B13" s="11" t="s">
        <v>49</v>
      </c>
      <c r="C13" s="12">
        <v>44208</v>
      </c>
      <c r="D13" s="12">
        <f t="shared" ref="D13" si="7">C13+7</f>
        <v>44215</v>
      </c>
      <c r="E13" s="11">
        <f t="shared" si="0"/>
        <v>7</v>
      </c>
      <c r="F13" s="11" t="s">
        <v>3</v>
      </c>
      <c r="G13" s="13">
        <v>141.57575757575799</v>
      </c>
      <c r="H13" s="11" t="s">
        <v>6</v>
      </c>
      <c r="I13" s="13">
        <v>190</v>
      </c>
      <c r="J13" s="14" t="s">
        <v>10</v>
      </c>
      <c r="K13" s="14" t="s">
        <v>13</v>
      </c>
      <c r="L13" s="15" t="s">
        <v>43</v>
      </c>
    </row>
    <row r="14" spans="1:12" ht="18.5" x14ac:dyDescent="0.45">
      <c r="A14" s="5" t="s">
        <v>56</v>
      </c>
      <c r="B14" s="11" t="s">
        <v>49</v>
      </c>
      <c r="C14" s="12">
        <v>44209</v>
      </c>
      <c r="D14" s="12">
        <f t="shared" ref="D14" si="8">C14+3</f>
        <v>44212</v>
      </c>
      <c r="E14" s="11">
        <f t="shared" si="0"/>
        <v>3</v>
      </c>
      <c r="F14" s="11" t="s">
        <v>2</v>
      </c>
      <c r="G14" s="13">
        <v>142.81818181818201</v>
      </c>
      <c r="H14" s="11" t="s">
        <v>6</v>
      </c>
      <c r="I14" s="13">
        <v>210</v>
      </c>
      <c r="J14" s="14" t="s">
        <v>11</v>
      </c>
      <c r="K14" s="14" t="s">
        <v>14</v>
      </c>
      <c r="L14" s="15" t="s">
        <v>37</v>
      </c>
    </row>
    <row r="15" spans="1:12" ht="18.5" x14ac:dyDescent="0.45">
      <c r="A15" s="5" t="s">
        <v>57</v>
      </c>
      <c r="B15" s="11" t="s">
        <v>36</v>
      </c>
      <c r="C15" s="12">
        <v>44210</v>
      </c>
      <c r="D15" s="12">
        <f t="shared" ref="D15" si="9">C15+4</f>
        <v>44214</v>
      </c>
      <c r="E15" s="11">
        <f t="shared" si="0"/>
        <v>4</v>
      </c>
      <c r="F15" s="11" t="s">
        <v>2</v>
      </c>
      <c r="G15" s="13">
        <v>144.06060606060601</v>
      </c>
      <c r="H15" s="11" t="s">
        <v>8</v>
      </c>
      <c r="I15" s="13">
        <v>2100</v>
      </c>
      <c r="J15" s="14" t="s">
        <v>10</v>
      </c>
      <c r="K15" s="14" t="s">
        <v>15</v>
      </c>
      <c r="L15" s="15" t="s">
        <v>40</v>
      </c>
    </row>
    <row r="16" spans="1:12" ht="18.5" x14ac:dyDescent="0.45">
      <c r="A16" s="5" t="s">
        <v>58</v>
      </c>
      <c r="B16" s="11" t="s">
        <v>39</v>
      </c>
      <c r="C16" s="12">
        <v>44211</v>
      </c>
      <c r="D16" s="12">
        <f t="shared" ref="D16" si="10">C16+1</f>
        <v>44212</v>
      </c>
      <c r="E16" s="11">
        <f t="shared" si="0"/>
        <v>1</v>
      </c>
      <c r="F16" s="11" t="s">
        <v>2</v>
      </c>
      <c r="G16" s="13">
        <v>145.30303030303</v>
      </c>
      <c r="H16" s="11" t="s">
        <v>7</v>
      </c>
      <c r="I16" s="13">
        <v>1200</v>
      </c>
      <c r="J16" s="14" t="s">
        <v>10</v>
      </c>
      <c r="K16" s="14" t="s">
        <v>16</v>
      </c>
      <c r="L16" s="15" t="s">
        <v>43</v>
      </c>
    </row>
    <row r="17" spans="1:12" ht="18.5" x14ac:dyDescent="0.45">
      <c r="A17" s="5" t="s">
        <v>59</v>
      </c>
      <c r="B17" s="11" t="s">
        <v>42</v>
      </c>
      <c r="C17" s="12">
        <v>44212</v>
      </c>
      <c r="D17" s="12">
        <f t="shared" ref="D17" si="11">C17+2</f>
        <v>44214</v>
      </c>
      <c r="E17" s="11">
        <f t="shared" si="0"/>
        <v>2</v>
      </c>
      <c r="F17" s="11" t="s">
        <v>2</v>
      </c>
      <c r="G17" s="13">
        <v>146.54545454545499</v>
      </c>
      <c r="H17" s="11" t="s">
        <v>8</v>
      </c>
      <c r="I17" s="13">
        <v>1500</v>
      </c>
      <c r="J17" s="14" t="s">
        <v>10</v>
      </c>
      <c r="K17" s="14" t="s">
        <v>17</v>
      </c>
      <c r="L17" s="15" t="s">
        <v>37</v>
      </c>
    </row>
    <row r="18" spans="1:12" ht="18.5" x14ac:dyDescent="0.45">
      <c r="A18" s="5" t="s">
        <v>60</v>
      </c>
      <c r="B18" s="11" t="s">
        <v>45</v>
      </c>
      <c r="C18" s="12">
        <v>44213</v>
      </c>
      <c r="D18" s="12">
        <f t="shared" ref="D18" si="12">C18+7</f>
        <v>44220</v>
      </c>
      <c r="E18" s="11">
        <f t="shared" si="0"/>
        <v>7</v>
      </c>
      <c r="F18" s="11" t="s">
        <v>2</v>
      </c>
      <c r="G18" s="13">
        <v>147.78787878787901</v>
      </c>
      <c r="H18" s="11" t="s">
        <v>7</v>
      </c>
      <c r="I18" s="13">
        <v>300</v>
      </c>
      <c r="J18" s="14" t="s">
        <v>10</v>
      </c>
      <c r="K18" s="14" t="s">
        <v>18</v>
      </c>
      <c r="L18" s="15" t="s">
        <v>40</v>
      </c>
    </row>
    <row r="19" spans="1:12" ht="18.5" x14ac:dyDescent="0.45">
      <c r="A19" s="5" t="s">
        <v>61</v>
      </c>
      <c r="B19" s="11" t="s">
        <v>47</v>
      </c>
      <c r="C19" s="12">
        <v>44214</v>
      </c>
      <c r="D19" s="12">
        <f t="shared" ref="D19" si="13">C19+3</f>
        <v>44217</v>
      </c>
      <c r="E19" s="11">
        <f t="shared" si="0"/>
        <v>3</v>
      </c>
      <c r="F19" s="11" t="s">
        <v>2</v>
      </c>
      <c r="G19" s="13">
        <v>149.030303030303</v>
      </c>
      <c r="H19" s="11" t="s">
        <v>6</v>
      </c>
      <c r="I19" s="13">
        <v>190</v>
      </c>
      <c r="J19" s="14" t="s">
        <v>10</v>
      </c>
      <c r="K19" s="14" t="s">
        <v>19</v>
      </c>
      <c r="L19" s="15" t="s">
        <v>43</v>
      </c>
    </row>
    <row r="20" spans="1:12" ht="18.5" x14ac:dyDescent="0.45">
      <c r="A20" s="5" t="s">
        <v>62</v>
      </c>
      <c r="B20" s="11" t="s">
        <v>49</v>
      </c>
      <c r="C20" s="12">
        <v>44215</v>
      </c>
      <c r="D20" s="12">
        <f t="shared" ref="D20" si="14">C20+4</f>
        <v>44219</v>
      </c>
      <c r="E20" s="11">
        <f t="shared" si="0"/>
        <v>4</v>
      </c>
      <c r="F20" s="11" t="s">
        <v>2</v>
      </c>
      <c r="G20" s="11">
        <v>105</v>
      </c>
      <c r="H20" s="11" t="s">
        <v>6</v>
      </c>
      <c r="I20" s="13">
        <v>210</v>
      </c>
      <c r="J20" s="14" t="s">
        <v>10</v>
      </c>
      <c r="K20" s="14" t="s">
        <v>13</v>
      </c>
      <c r="L20" s="15" t="s">
        <v>37</v>
      </c>
    </row>
    <row r="21" spans="1:12" ht="18.5" x14ac:dyDescent="0.45">
      <c r="A21" s="5" t="s">
        <v>63</v>
      </c>
      <c r="B21" s="11" t="s">
        <v>36</v>
      </c>
      <c r="C21" s="12">
        <v>44216</v>
      </c>
      <c r="D21" s="12">
        <f t="shared" ref="D21" si="15">C21+1</f>
        <v>44217</v>
      </c>
      <c r="E21" s="11">
        <f t="shared" si="0"/>
        <v>1</v>
      </c>
      <c r="F21" s="11" t="s">
        <v>2</v>
      </c>
      <c r="G21" s="11">
        <v>106</v>
      </c>
      <c r="H21" s="11" t="s">
        <v>7</v>
      </c>
      <c r="I21" s="13">
        <v>2100</v>
      </c>
      <c r="J21" s="14" t="s">
        <v>10</v>
      </c>
      <c r="K21" s="14" t="s">
        <v>12</v>
      </c>
      <c r="L21" s="15" t="s">
        <v>40</v>
      </c>
    </row>
    <row r="22" spans="1:12" ht="18.5" x14ac:dyDescent="0.45">
      <c r="A22" s="5" t="s">
        <v>64</v>
      </c>
      <c r="B22" s="11" t="s">
        <v>39</v>
      </c>
      <c r="C22" s="12">
        <v>44217</v>
      </c>
      <c r="D22" s="12">
        <f t="shared" ref="D22" si="16">C22+2</f>
        <v>44219</v>
      </c>
      <c r="E22" s="11">
        <f t="shared" si="0"/>
        <v>2</v>
      </c>
      <c r="F22" s="11" t="s">
        <v>3</v>
      </c>
      <c r="G22" s="11">
        <v>107</v>
      </c>
      <c r="H22" s="11" t="s">
        <v>8</v>
      </c>
      <c r="I22" s="13">
        <v>1200</v>
      </c>
      <c r="J22" s="14" t="s">
        <v>10</v>
      </c>
      <c r="K22" s="14" t="s">
        <v>12</v>
      </c>
      <c r="L22" s="15" t="s">
        <v>43</v>
      </c>
    </row>
    <row r="23" spans="1:12" ht="18.5" x14ac:dyDescent="0.45">
      <c r="A23" s="5" t="s">
        <v>65</v>
      </c>
      <c r="B23" s="11" t="s">
        <v>42</v>
      </c>
      <c r="C23" s="12">
        <v>44218</v>
      </c>
      <c r="D23" s="12">
        <f t="shared" ref="D23" si="17">C23+7</f>
        <v>44225</v>
      </c>
      <c r="E23" s="11">
        <f t="shared" si="0"/>
        <v>7</v>
      </c>
      <c r="F23" s="11" t="s">
        <v>2</v>
      </c>
      <c r="G23" s="11">
        <v>108</v>
      </c>
      <c r="H23" s="11" t="s">
        <v>7</v>
      </c>
      <c r="I23" s="13">
        <v>300</v>
      </c>
      <c r="J23" s="14" t="s">
        <v>10</v>
      </c>
      <c r="K23" s="14" t="s">
        <v>13</v>
      </c>
      <c r="L23" s="15" t="s">
        <v>37</v>
      </c>
    </row>
    <row r="24" spans="1:12" ht="18.5" x14ac:dyDescent="0.45">
      <c r="A24" s="5" t="s">
        <v>66</v>
      </c>
      <c r="B24" s="11" t="s">
        <v>45</v>
      </c>
      <c r="C24" s="12">
        <v>44219</v>
      </c>
      <c r="D24" s="12">
        <f t="shared" ref="D24" si="18">C24+3</f>
        <v>44222</v>
      </c>
      <c r="E24" s="11">
        <f t="shared" si="0"/>
        <v>3</v>
      </c>
      <c r="F24" s="11" t="s">
        <v>3</v>
      </c>
      <c r="G24" s="11">
        <v>109</v>
      </c>
      <c r="H24" s="11" t="s">
        <v>6</v>
      </c>
      <c r="I24" s="13">
        <v>200</v>
      </c>
      <c r="J24" s="14" t="s">
        <v>10</v>
      </c>
      <c r="K24" s="14" t="s">
        <v>14</v>
      </c>
      <c r="L24" s="15" t="s">
        <v>40</v>
      </c>
    </row>
    <row r="25" spans="1:12" ht="18.5" x14ac:dyDescent="0.45">
      <c r="A25" s="5" t="s">
        <v>67</v>
      </c>
      <c r="B25" s="11" t="s">
        <v>47</v>
      </c>
      <c r="C25" s="12">
        <v>44220</v>
      </c>
      <c r="D25" s="12">
        <f t="shared" ref="D25" si="19">C25+4</f>
        <v>44224</v>
      </c>
      <c r="E25" s="11">
        <f t="shared" si="0"/>
        <v>4</v>
      </c>
      <c r="F25" s="11" t="s">
        <v>2</v>
      </c>
      <c r="G25" s="11">
        <v>110</v>
      </c>
      <c r="H25" s="11" t="s">
        <v>6</v>
      </c>
      <c r="I25" s="13">
        <v>190</v>
      </c>
      <c r="J25" s="14" t="s">
        <v>10</v>
      </c>
      <c r="K25" s="14" t="s">
        <v>15</v>
      </c>
      <c r="L25" s="15" t="s">
        <v>43</v>
      </c>
    </row>
    <row r="26" spans="1:12" ht="18.5" x14ac:dyDescent="0.45">
      <c r="A26" s="5" t="s">
        <v>68</v>
      </c>
      <c r="B26" s="11" t="s">
        <v>49</v>
      </c>
      <c r="C26" s="12">
        <v>44221</v>
      </c>
      <c r="D26" s="12">
        <f t="shared" ref="D26" si="20">C26+1</f>
        <v>44222</v>
      </c>
      <c r="E26" s="11">
        <f t="shared" si="0"/>
        <v>1</v>
      </c>
      <c r="F26" s="11" t="s">
        <v>2</v>
      </c>
      <c r="G26" s="11">
        <v>111</v>
      </c>
      <c r="H26" s="11" t="s">
        <v>8</v>
      </c>
      <c r="I26" s="13">
        <v>2100</v>
      </c>
      <c r="J26" s="14" t="s">
        <v>10</v>
      </c>
      <c r="K26" s="14" t="s">
        <v>16</v>
      </c>
      <c r="L26" s="15" t="s">
        <v>37</v>
      </c>
    </row>
    <row r="27" spans="1:12" ht="18.5" x14ac:dyDescent="0.45">
      <c r="A27" s="5" t="s">
        <v>69</v>
      </c>
      <c r="B27" s="11" t="s">
        <v>49</v>
      </c>
      <c r="C27" s="12">
        <v>44222</v>
      </c>
      <c r="D27" s="12">
        <f t="shared" ref="D27" si="21">C27+2</f>
        <v>44224</v>
      </c>
      <c r="E27" s="11">
        <f t="shared" si="0"/>
        <v>2</v>
      </c>
      <c r="F27" s="11" t="s">
        <v>2</v>
      </c>
      <c r="G27" s="11">
        <v>112</v>
      </c>
      <c r="H27" s="11" t="s">
        <v>6</v>
      </c>
      <c r="I27" s="13">
        <v>210</v>
      </c>
      <c r="J27" s="14" t="s">
        <v>10</v>
      </c>
      <c r="K27" s="14" t="s">
        <v>17</v>
      </c>
      <c r="L27" s="15" t="s">
        <v>40</v>
      </c>
    </row>
    <row r="28" spans="1:12" ht="18.5" x14ac:dyDescent="0.45">
      <c r="A28" s="5" t="s">
        <v>70</v>
      </c>
      <c r="B28" s="11" t="s">
        <v>36</v>
      </c>
      <c r="C28" s="12">
        <v>44223</v>
      </c>
      <c r="D28" s="12">
        <f t="shared" ref="D28" si="22">C28+7</f>
        <v>44230</v>
      </c>
      <c r="E28" s="11">
        <f t="shared" si="0"/>
        <v>7</v>
      </c>
      <c r="F28" s="11" t="s">
        <v>2</v>
      </c>
      <c r="G28" s="11">
        <v>113</v>
      </c>
      <c r="H28" s="11" t="s">
        <v>8</v>
      </c>
      <c r="I28" s="13">
        <v>2100</v>
      </c>
      <c r="J28" s="14" t="s">
        <v>10</v>
      </c>
      <c r="K28" s="14" t="s">
        <v>18</v>
      </c>
      <c r="L28" s="15" t="s">
        <v>43</v>
      </c>
    </row>
    <row r="29" spans="1:12" ht="18.5" x14ac:dyDescent="0.45">
      <c r="A29" s="5" t="s">
        <v>71</v>
      </c>
      <c r="B29" s="11" t="s">
        <v>36</v>
      </c>
      <c r="C29" s="12">
        <v>44224</v>
      </c>
      <c r="D29" s="12">
        <f t="shared" ref="D29" si="23">C29+3</f>
        <v>44227</v>
      </c>
      <c r="E29" s="11">
        <f t="shared" si="0"/>
        <v>3</v>
      </c>
      <c r="F29" s="11" t="s">
        <v>3</v>
      </c>
      <c r="G29" s="11">
        <v>114</v>
      </c>
      <c r="H29" s="11" t="s">
        <v>6</v>
      </c>
      <c r="I29" s="13">
        <v>210</v>
      </c>
      <c r="J29" s="14" t="s">
        <v>10</v>
      </c>
      <c r="K29" s="14" t="s">
        <v>19</v>
      </c>
      <c r="L29" s="15" t="s">
        <v>37</v>
      </c>
    </row>
    <row r="30" spans="1:12" ht="18.5" x14ac:dyDescent="0.45">
      <c r="A30" s="5" t="s">
        <v>72</v>
      </c>
      <c r="B30" s="11" t="s">
        <v>36</v>
      </c>
      <c r="C30" s="12">
        <v>44225</v>
      </c>
      <c r="D30" s="12">
        <f t="shared" ref="D30" si="24">C30+4</f>
        <v>44229</v>
      </c>
      <c r="E30" s="11">
        <f t="shared" si="0"/>
        <v>4</v>
      </c>
      <c r="F30" s="11" t="s">
        <v>4</v>
      </c>
      <c r="G30" s="11">
        <v>115</v>
      </c>
      <c r="H30" s="11" t="s">
        <v>6</v>
      </c>
      <c r="I30" s="13">
        <v>210</v>
      </c>
      <c r="J30" s="14" t="s">
        <v>10</v>
      </c>
      <c r="K30" s="14" t="s">
        <v>13</v>
      </c>
      <c r="L30" s="15" t="s">
        <v>40</v>
      </c>
    </row>
    <row r="31" spans="1:12" ht="18.5" x14ac:dyDescent="0.45">
      <c r="A31" s="5" t="s">
        <v>73</v>
      </c>
      <c r="B31" s="11" t="s">
        <v>36</v>
      </c>
      <c r="C31" s="12">
        <v>44226</v>
      </c>
      <c r="D31" s="12">
        <f t="shared" ref="D31" si="25">C31+1</f>
        <v>44227</v>
      </c>
      <c r="E31" s="11">
        <f t="shared" si="0"/>
        <v>1</v>
      </c>
      <c r="F31" s="11" t="s">
        <v>5</v>
      </c>
      <c r="G31" s="11">
        <v>116</v>
      </c>
      <c r="H31" s="11" t="s">
        <v>6</v>
      </c>
      <c r="I31" s="13">
        <v>210</v>
      </c>
      <c r="J31" s="14" t="s">
        <v>10</v>
      </c>
      <c r="K31" s="14" t="s">
        <v>12</v>
      </c>
      <c r="L31" s="15" t="s">
        <v>43</v>
      </c>
    </row>
    <row r="32" spans="1:12" ht="18.5" x14ac:dyDescent="0.45">
      <c r="A32" s="5" t="s">
        <v>74</v>
      </c>
      <c r="B32" s="11" t="s">
        <v>36</v>
      </c>
      <c r="C32" s="12">
        <v>44227</v>
      </c>
      <c r="D32" s="12">
        <f t="shared" ref="D32" si="26">C32+2</f>
        <v>44229</v>
      </c>
      <c r="E32" s="11">
        <f t="shared" si="0"/>
        <v>2</v>
      </c>
      <c r="F32" s="11" t="s">
        <v>2</v>
      </c>
      <c r="G32" s="11">
        <v>117</v>
      </c>
      <c r="H32" s="11" t="s">
        <v>6</v>
      </c>
      <c r="I32" s="13">
        <v>210</v>
      </c>
      <c r="J32" s="14" t="s">
        <v>10</v>
      </c>
      <c r="K32" s="14" t="s">
        <v>12</v>
      </c>
      <c r="L32" s="15" t="s">
        <v>37</v>
      </c>
    </row>
    <row r="33" spans="1:12" ht="18.5" x14ac:dyDescent="0.45">
      <c r="A33" s="5" t="s">
        <v>75</v>
      </c>
      <c r="B33" s="11" t="s">
        <v>36</v>
      </c>
      <c r="C33" s="12">
        <v>44228</v>
      </c>
      <c r="D33" s="12">
        <f t="shared" ref="D33" si="27">C33+7</f>
        <v>44235</v>
      </c>
      <c r="E33" s="11">
        <f t="shared" si="0"/>
        <v>7</v>
      </c>
      <c r="F33" s="11" t="s">
        <v>3</v>
      </c>
      <c r="G33" s="11">
        <v>118</v>
      </c>
      <c r="H33" s="11" t="s">
        <v>6</v>
      </c>
      <c r="I33" s="13">
        <v>210</v>
      </c>
      <c r="J33" s="14" t="s">
        <v>10</v>
      </c>
      <c r="K33" s="14" t="s">
        <v>13</v>
      </c>
      <c r="L33" s="15" t="s">
        <v>40</v>
      </c>
    </row>
    <row r="34" spans="1:12" ht="18.5" x14ac:dyDescent="0.45">
      <c r="A34" s="5" t="s">
        <v>76</v>
      </c>
      <c r="B34" s="11" t="s">
        <v>36</v>
      </c>
      <c r="C34" s="12">
        <v>44229</v>
      </c>
      <c r="D34" s="12">
        <f t="shared" ref="D34" si="28">C34+3</f>
        <v>44232</v>
      </c>
      <c r="E34" s="11">
        <f t="shared" si="0"/>
        <v>3</v>
      </c>
      <c r="F34" s="11" t="s">
        <v>4</v>
      </c>
      <c r="G34" s="11">
        <v>119</v>
      </c>
      <c r="H34" s="11" t="s">
        <v>6</v>
      </c>
      <c r="I34" s="13">
        <v>210</v>
      </c>
      <c r="J34" s="14" t="s">
        <v>10</v>
      </c>
      <c r="K34" s="14" t="s">
        <v>14</v>
      </c>
      <c r="L34" s="15" t="s">
        <v>43</v>
      </c>
    </row>
    <row r="35" spans="1:12" ht="18.5" x14ac:dyDescent="0.45">
      <c r="A35" s="5" t="s">
        <v>77</v>
      </c>
      <c r="B35" s="11" t="s">
        <v>36</v>
      </c>
      <c r="C35" s="12">
        <v>44230</v>
      </c>
      <c r="D35" s="12">
        <f t="shared" ref="D35" si="29">C35+4</f>
        <v>44234</v>
      </c>
      <c r="E35" s="11">
        <f t="shared" si="0"/>
        <v>4</v>
      </c>
      <c r="F35" s="11" t="s">
        <v>5</v>
      </c>
      <c r="G35" s="11">
        <v>120</v>
      </c>
      <c r="H35" s="11" t="s">
        <v>6</v>
      </c>
      <c r="I35" s="13">
        <v>210</v>
      </c>
      <c r="J35" s="14" t="s">
        <v>10</v>
      </c>
      <c r="K35" s="14" t="s">
        <v>15</v>
      </c>
      <c r="L35" s="15" t="s">
        <v>37</v>
      </c>
    </row>
    <row r="36" spans="1:12" ht="18.5" x14ac:dyDescent="0.45">
      <c r="A36" s="5" t="s">
        <v>78</v>
      </c>
      <c r="B36" s="11" t="s">
        <v>39</v>
      </c>
      <c r="C36" s="12">
        <v>44231</v>
      </c>
      <c r="D36" s="12">
        <f t="shared" ref="D36" si="30">C36+1</f>
        <v>44232</v>
      </c>
      <c r="E36" s="11">
        <f t="shared" si="0"/>
        <v>1</v>
      </c>
      <c r="F36" s="11" t="s">
        <v>3</v>
      </c>
      <c r="G36" s="11">
        <v>121</v>
      </c>
      <c r="H36" s="11" t="s">
        <v>6</v>
      </c>
      <c r="I36" s="13">
        <v>210</v>
      </c>
      <c r="J36" s="14" t="s">
        <v>10</v>
      </c>
      <c r="K36" s="14" t="s">
        <v>16</v>
      </c>
      <c r="L36" s="15" t="s">
        <v>40</v>
      </c>
    </row>
    <row r="37" spans="1:12" ht="18.5" x14ac:dyDescent="0.45">
      <c r="A37" s="5" t="s">
        <v>79</v>
      </c>
      <c r="B37" s="11" t="s">
        <v>39</v>
      </c>
      <c r="C37" s="12">
        <v>44232</v>
      </c>
      <c r="D37" s="12">
        <f t="shared" ref="D37" si="31">C37+2</f>
        <v>44234</v>
      </c>
      <c r="E37" s="11">
        <f t="shared" si="0"/>
        <v>2</v>
      </c>
      <c r="F37" s="11" t="s">
        <v>2</v>
      </c>
      <c r="G37" s="11">
        <v>122</v>
      </c>
      <c r="H37" s="11" t="s">
        <v>6</v>
      </c>
      <c r="I37" s="13">
        <v>210</v>
      </c>
      <c r="J37" s="14" t="s">
        <v>10</v>
      </c>
      <c r="K37" s="14" t="s">
        <v>17</v>
      </c>
      <c r="L37" s="15" t="s">
        <v>43</v>
      </c>
    </row>
    <row r="38" spans="1:12" ht="18.5" x14ac:dyDescent="0.45">
      <c r="A38" s="5" t="s">
        <v>80</v>
      </c>
      <c r="B38" s="11" t="s">
        <v>39</v>
      </c>
      <c r="C38" s="12">
        <v>44233</v>
      </c>
      <c r="D38" s="12">
        <f t="shared" ref="D38" si="32">C38+7</f>
        <v>44240</v>
      </c>
      <c r="E38" s="11">
        <f t="shared" si="0"/>
        <v>7</v>
      </c>
      <c r="F38" s="11" t="s">
        <v>4</v>
      </c>
      <c r="G38" s="11">
        <v>123</v>
      </c>
      <c r="H38" s="11" t="s">
        <v>6</v>
      </c>
      <c r="I38" s="13">
        <v>190</v>
      </c>
      <c r="J38" s="14" t="s">
        <v>10</v>
      </c>
      <c r="K38" s="14" t="s">
        <v>18</v>
      </c>
      <c r="L38" s="15" t="s">
        <v>37</v>
      </c>
    </row>
    <row r="39" spans="1:12" ht="18.5" x14ac:dyDescent="0.45">
      <c r="A39" s="5" t="s">
        <v>81</v>
      </c>
      <c r="B39" s="11" t="s">
        <v>39</v>
      </c>
      <c r="C39" s="12">
        <v>44234</v>
      </c>
      <c r="D39" s="12">
        <f t="shared" ref="D39" si="33">C39+3</f>
        <v>44237</v>
      </c>
      <c r="E39" s="11">
        <f t="shared" si="0"/>
        <v>3</v>
      </c>
      <c r="F39" s="11" t="s">
        <v>5</v>
      </c>
      <c r="G39" s="11">
        <v>124</v>
      </c>
      <c r="H39" s="11" t="s">
        <v>6</v>
      </c>
      <c r="I39" s="13">
        <v>210</v>
      </c>
      <c r="J39" s="14" t="s">
        <v>10</v>
      </c>
      <c r="K39" s="14" t="s">
        <v>19</v>
      </c>
      <c r="L39" s="15" t="s">
        <v>40</v>
      </c>
    </row>
    <row r="40" spans="1:12" ht="18.5" x14ac:dyDescent="0.45">
      <c r="A40" s="5" t="s">
        <v>82</v>
      </c>
      <c r="B40" s="11" t="s">
        <v>39</v>
      </c>
      <c r="C40" s="12">
        <v>44235</v>
      </c>
      <c r="D40" s="12">
        <f t="shared" ref="D40" si="34">C40+4</f>
        <v>44239</v>
      </c>
      <c r="E40" s="11">
        <f t="shared" si="0"/>
        <v>4</v>
      </c>
      <c r="F40" s="11" t="s">
        <v>3</v>
      </c>
      <c r="G40" s="11">
        <v>125</v>
      </c>
      <c r="H40" s="11" t="s">
        <v>8</v>
      </c>
      <c r="I40" s="13">
        <v>2100</v>
      </c>
      <c r="J40" s="14" t="s">
        <v>10</v>
      </c>
      <c r="K40" s="14" t="s">
        <v>13</v>
      </c>
      <c r="L40" s="15" t="s">
        <v>43</v>
      </c>
    </row>
    <row r="41" spans="1:12" ht="18.5" x14ac:dyDescent="0.45">
      <c r="A41" s="5" t="s">
        <v>83</v>
      </c>
      <c r="B41" s="11" t="s">
        <v>39</v>
      </c>
      <c r="C41" s="12">
        <v>44236</v>
      </c>
      <c r="D41" s="12">
        <f t="shared" ref="D41" si="35">C41+1</f>
        <v>44237</v>
      </c>
      <c r="E41" s="11">
        <f t="shared" si="0"/>
        <v>1</v>
      </c>
      <c r="F41" s="11" t="s">
        <v>2</v>
      </c>
      <c r="G41" s="11">
        <v>126</v>
      </c>
      <c r="H41" s="11" t="s">
        <v>7</v>
      </c>
      <c r="I41" s="13">
        <v>1200</v>
      </c>
      <c r="J41" s="14" t="s">
        <v>10</v>
      </c>
      <c r="K41" s="14" t="s">
        <v>12</v>
      </c>
      <c r="L41" s="15" t="s">
        <v>37</v>
      </c>
    </row>
    <row r="42" spans="1:12" ht="18.5" x14ac:dyDescent="0.45">
      <c r="A42" s="5" t="s">
        <v>84</v>
      </c>
      <c r="B42" s="11" t="s">
        <v>39</v>
      </c>
      <c r="C42" s="12">
        <v>44237</v>
      </c>
      <c r="D42" s="12">
        <f t="shared" ref="D42" si="36">C42+2</f>
        <v>44239</v>
      </c>
      <c r="E42" s="11">
        <f t="shared" si="0"/>
        <v>2</v>
      </c>
      <c r="F42" s="11" t="s">
        <v>4</v>
      </c>
      <c r="G42" s="11">
        <v>127</v>
      </c>
      <c r="H42" s="11" t="s">
        <v>8</v>
      </c>
      <c r="I42" s="13">
        <v>2100</v>
      </c>
      <c r="J42" s="14" t="s">
        <v>10</v>
      </c>
      <c r="K42" s="14" t="s">
        <v>12</v>
      </c>
      <c r="L42" s="15" t="s">
        <v>40</v>
      </c>
    </row>
    <row r="43" spans="1:12" ht="18.5" x14ac:dyDescent="0.45">
      <c r="A43" s="5" t="s">
        <v>85</v>
      </c>
      <c r="B43" s="11" t="s">
        <v>39</v>
      </c>
      <c r="C43" s="12">
        <v>44238</v>
      </c>
      <c r="D43" s="12">
        <f t="shared" ref="D43" si="37">C43+7</f>
        <v>44245</v>
      </c>
      <c r="E43" s="11">
        <f t="shared" si="0"/>
        <v>7</v>
      </c>
      <c r="F43" s="11" t="s">
        <v>5</v>
      </c>
      <c r="G43" s="11">
        <v>128</v>
      </c>
      <c r="H43" s="11" t="s">
        <v>8</v>
      </c>
      <c r="I43" s="13">
        <v>2100</v>
      </c>
      <c r="J43" s="14" t="s">
        <v>10</v>
      </c>
      <c r="K43" s="14" t="s">
        <v>13</v>
      </c>
      <c r="L43" s="15" t="s">
        <v>43</v>
      </c>
    </row>
    <row r="44" spans="1:12" ht="18.5" x14ac:dyDescent="0.45">
      <c r="A44" s="5" t="s">
        <v>86</v>
      </c>
      <c r="B44" s="11" t="s">
        <v>42</v>
      </c>
      <c r="C44" s="12">
        <v>44239</v>
      </c>
      <c r="D44" s="12">
        <f t="shared" ref="D44" si="38">C44+3</f>
        <v>44242</v>
      </c>
      <c r="E44" s="11">
        <f t="shared" si="0"/>
        <v>3</v>
      </c>
      <c r="F44" s="11" t="s">
        <v>5</v>
      </c>
      <c r="G44" s="11">
        <v>129</v>
      </c>
      <c r="H44" s="11" t="s">
        <v>8</v>
      </c>
      <c r="I44" s="13">
        <v>2100</v>
      </c>
      <c r="J44" s="14" t="s">
        <v>10</v>
      </c>
      <c r="K44" s="14" t="s">
        <v>14</v>
      </c>
      <c r="L44" s="15" t="s">
        <v>37</v>
      </c>
    </row>
    <row r="45" spans="1:12" ht="18.5" x14ac:dyDescent="0.45">
      <c r="A45" s="5" t="s">
        <v>87</v>
      </c>
      <c r="B45" s="11" t="s">
        <v>45</v>
      </c>
      <c r="C45" s="12">
        <v>44240</v>
      </c>
      <c r="D45" s="12">
        <f t="shared" ref="D45" si="39">C45+4</f>
        <v>44244</v>
      </c>
      <c r="E45" s="11">
        <f t="shared" si="0"/>
        <v>4</v>
      </c>
      <c r="F45" s="11" t="s">
        <v>5</v>
      </c>
      <c r="G45" s="11">
        <v>130</v>
      </c>
      <c r="H45" s="11" t="s">
        <v>8</v>
      </c>
      <c r="I45" s="13">
        <v>2100</v>
      </c>
      <c r="J45" s="14" t="s">
        <v>10</v>
      </c>
      <c r="K45" s="14" t="s">
        <v>15</v>
      </c>
      <c r="L45" s="15" t="s">
        <v>40</v>
      </c>
    </row>
    <row r="46" spans="1:12" ht="18.5" x14ac:dyDescent="0.45">
      <c r="A46" s="5" t="s">
        <v>88</v>
      </c>
      <c r="B46" s="11" t="s">
        <v>47</v>
      </c>
      <c r="C46" s="12">
        <v>44241</v>
      </c>
      <c r="D46" s="12">
        <f t="shared" ref="D46" si="40">C46+1</f>
        <v>44242</v>
      </c>
      <c r="E46" s="11">
        <f t="shared" si="0"/>
        <v>1</v>
      </c>
      <c r="F46" s="11" t="s">
        <v>5</v>
      </c>
      <c r="G46" s="11">
        <v>131</v>
      </c>
      <c r="H46" s="11" t="s">
        <v>8</v>
      </c>
      <c r="I46" s="13">
        <v>2100</v>
      </c>
      <c r="J46" s="14" t="s">
        <v>10</v>
      </c>
      <c r="K46" s="14" t="s">
        <v>16</v>
      </c>
      <c r="L46" s="15" t="s">
        <v>43</v>
      </c>
    </row>
    <row r="47" spans="1:12" ht="18.5" x14ac:dyDescent="0.45">
      <c r="A47" s="5" t="s">
        <v>89</v>
      </c>
      <c r="B47" s="11" t="s">
        <v>49</v>
      </c>
      <c r="C47" s="12">
        <v>44242</v>
      </c>
      <c r="D47" s="12">
        <f t="shared" ref="D47" si="41">C47+2</f>
        <v>44244</v>
      </c>
      <c r="E47" s="11">
        <f t="shared" si="0"/>
        <v>2</v>
      </c>
      <c r="F47" s="11" t="s">
        <v>5</v>
      </c>
      <c r="G47" s="11">
        <v>132</v>
      </c>
      <c r="H47" s="11" t="s">
        <v>8</v>
      </c>
      <c r="I47" s="13">
        <v>2100</v>
      </c>
      <c r="J47" s="14" t="s">
        <v>10</v>
      </c>
      <c r="K47" s="14" t="s">
        <v>17</v>
      </c>
      <c r="L47" s="15" t="s">
        <v>37</v>
      </c>
    </row>
    <row r="48" spans="1:12" ht="18.5" x14ac:dyDescent="0.45">
      <c r="A48" s="5" t="s">
        <v>90</v>
      </c>
      <c r="B48" s="11" t="s">
        <v>49</v>
      </c>
      <c r="C48" s="12">
        <v>44243</v>
      </c>
      <c r="D48" s="12">
        <f t="shared" ref="D48" si="42">C48+7</f>
        <v>44250</v>
      </c>
      <c r="E48" s="11">
        <f t="shared" si="0"/>
        <v>7</v>
      </c>
      <c r="F48" s="11" t="s">
        <v>2</v>
      </c>
      <c r="G48" s="11">
        <v>133</v>
      </c>
      <c r="H48" s="11" t="s">
        <v>8</v>
      </c>
      <c r="I48" s="13">
        <v>2100</v>
      </c>
      <c r="J48" s="14" t="s">
        <v>10</v>
      </c>
      <c r="K48" s="14" t="s">
        <v>18</v>
      </c>
      <c r="L48" s="15" t="s">
        <v>40</v>
      </c>
    </row>
    <row r="49" spans="1:12" ht="18.5" x14ac:dyDescent="0.45">
      <c r="A49" s="5" t="s">
        <v>91</v>
      </c>
      <c r="B49" s="11" t="s">
        <v>49</v>
      </c>
      <c r="C49" s="12">
        <v>44244</v>
      </c>
      <c r="D49" s="12">
        <f t="shared" ref="D49" si="43">C49+3</f>
        <v>44247</v>
      </c>
      <c r="E49" s="11">
        <f t="shared" si="0"/>
        <v>3</v>
      </c>
      <c r="F49" s="11" t="s">
        <v>3</v>
      </c>
      <c r="G49" s="11">
        <v>134</v>
      </c>
      <c r="H49" s="11" t="s">
        <v>8</v>
      </c>
      <c r="I49" s="13">
        <v>2100</v>
      </c>
      <c r="J49" s="14" t="s">
        <v>10</v>
      </c>
      <c r="K49" s="14" t="s">
        <v>19</v>
      </c>
      <c r="L49" s="15" t="s">
        <v>43</v>
      </c>
    </row>
    <row r="50" spans="1:12" ht="18.5" x14ac:dyDescent="0.45">
      <c r="A50" s="5" t="s">
        <v>92</v>
      </c>
      <c r="B50" s="11" t="s">
        <v>49</v>
      </c>
      <c r="C50" s="12">
        <v>44245</v>
      </c>
      <c r="D50" s="12">
        <f t="shared" ref="D50" si="44">C50+4</f>
        <v>44249</v>
      </c>
      <c r="E50" s="11">
        <f t="shared" si="0"/>
        <v>4</v>
      </c>
      <c r="F50" s="11" t="s">
        <v>4</v>
      </c>
      <c r="G50" s="11">
        <v>135</v>
      </c>
      <c r="H50" s="11" t="s">
        <v>8</v>
      </c>
      <c r="I50" s="13">
        <v>2100</v>
      </c>
      <c r="J50" s="14" t="s">
        <v>10</v>
      </c>
      <c r="K50" s="14" t="s">
        <v>13</v>
      </c>
      <c r="L50" s="15" t="s">
        <v>37</v>
      </c>
    </row>
    <row r="51" spans="1:12" ht="18.5" x14ac:dyDescent="0.45">
      <c r="A51" s="5" t="s">
        <v>93</v>
      </c>
      <c r="B51" s="11" t="s">
        <v>49</v>
      </c>
      <c r="C51" s="12">
        <v>44246</v>
      </c>
      <c r="D51" s="12">
        <f t="shared" ref="D51" si="45">C51+1</f>
        <v>44247</v>
      </c>
      <c r="E51" s="11">
        <f t="shared" si="0"/>
        <v>1</v>
      </c>
      <c r="F51" s="11" t="s">
        <v>5</v>
      </c>
      <c r="G51" s="11">
        <v>136</v>
      </c>
      <c r="H51" s="11" t="s">
        <v>8</v>
      </c>
      <c r="I51" s="13">
        <v>2100</v>
      </c>
      <c r="J51" s="14" t="s">
        <v>10</v>
      </c>
      <c r="K51" s="14" t="s">
        <v>12</v>
      </c>
      <c r="L51" s="15" t="s">
        <v>40</v>
      </c>
    </row>
    <row r="52" spans="1:12" ht="18.5" x14ac:dyDescent="0.45">
      <c r="A52" s="5" t="s">
        <v>94</v>
      </c>
      <c r="B52" s="11" t="s">
        <v>49</v>
      </c>
      <c r="C52" s="12">
        <v>44247</v>
      </c>
      <c r="D52" s="12">
        <f t="shared" ref="D52" si="46">C52+2</f>
        <v>44249</v>
      </c>
      <c r="E52" s="11">
        <f t="shared" si="0"/>
        <v>2</v>
      </c>
      <c r="F52" s="11" t="s">
        <v>2</v>
      </c>
      <c r="G52" s="11">
        <v>137</v>
      </c>
      <c r="H52" s="11" t="s">
        <v>6</v>
      </c>
      <c r="I52" s="13">
        <v>210</v>
      </c>
      <c r="J52" s="14" t="s">
        <v>10</v>
      </c>
      <c r="K52" s="14" t="s">
        <v>12</v>
      </c>
      <c r="L52" s="15" t="s">
        <v>43</v>
      </c>
    </row>
    <row r="53" spans="1:12" ht="18.5" x14ac:dyDescent="0.45">
      <c r="A53" s="5" t="s">
        <v>95</v>
      </c>
      <c r="B53" s="11" t="s">
        <v>49</v>
      </c>
      <c r="C53" s="12">
        <v>44248</v>
      </c>
      <c r="D53" s="12">
        <f t="shared" ref="D53" si="47">C53+7</f>
        <v>44255</v>
      </c>
      <c r="E53" s="11">
        <f t="shared" si="0"/>
        <v>7</v>
      </c>
      <c r="F53" s="11" t="s">
        <v>3</v>
      </c>
      <c r="G53" s="11">
        <v>138</v>
      </c>
      <c r="H53" s="11" t="s">
        <v>8</v>
      </c>
      <c r="I53" s="13">
        <v>2100</v>
      </c>
      <c r="J53" s="14" t="s">
        <v>10</v>
      </c>
      <c r="K53" s="14" t="s">
        <v>13</v>
      </c>
      <c r="L53" s="15" t="s">
        <v>37</v>
      </c>
    </row>
    <row r="54" spans="1:12" ht="18.5" x14ac:dyDescent="0.45">
      <c r="A54" s="5" t="s">
        <v>96</v>
      </c>
      <c r="B54" s="11" t="s">
        <v>49</v>
      </c>
      <c r="C54" s="12">
        <v>44249</v>
      </c>
      <c r="D54" s="12">
        <f t="shared" ref="D54" si="48">C54+3</f>
        <v>44252</v>
      </c>
      <c r="E54" s="11">
        <f t="shared" si="0"/>
        <v>3</v>
      </c>
      <c r="F54" s="11" t="s">
        <v>4</v>
      </c>
      <c r="G54" s="11">
        <v>139</v>
      </c>
      <c r="H54" s="11" t="s">
        <v>7</v>
      </c>
      <c r="I54" s="13">
        <v>1200</v>
      </c>
      <c r="J54" s="14" t="s">
        <v>10</v>
      </c>
      <c r="K54" s="14" t="s">
        <v>14</v>
      </c>
      <c r="L54" s="15" t="s">
        <v>40</v>
      </c>
    </row>
    <row r="55" spans="1:12" ht="18.5" x14ac:dyDescent="0.45">
      <c r="A55" s="5" t="s">
        <v>97</v>
      </c>
      <c r="B55" s="11" t="s">
        <v>49</v>
      </c>
      <c r="C55" s="12">
        <v>44250</v>
      </c>
      <c r="D55" s="12">
        <f t="shared" ref="D55" si="49">C55+4</f>
        <v>44254</v>
      </c>
      <c r="E55" s="11">
        <f t="shared" si="0"/>
        <v>4</v>
      </c>
      <c r="F55" s="11" t="s">
        <v>5</v>
      </c>
      <c r="G55" s="11">
        <v>140</v>
      </c>
      <c r="H55" s="11" t="s">
        <v>8</v>
      </c>
      <c r="I55" s="13">
        <v>1500</v>
      </c>
      <c r="J55" s="14" t="s">
        <v>10</v>
      </c>
      <c r="K55" s="14" t="s">
        <v>15</v>
      </c>
      <c r="L55" s="15" t="s">
        <v>43</v>
      </c>
    </row>
    <row r="56" spans="1:12" ht="18.5" x14ac:dyDescent="0.45">
      <c r="A56" s="5" t="s">
        <v>98</v>
      </c>
      <c r="B56" s="11" t="s">
        <v>36</v>
      </c>
      <c r="C56" s="12">
        <v>44251</v>
      </c>
      <c r="D56" s="12">
        <f t="shared" ref="D56" si="50">C56+1</f>
        <v>44252</v>
      </c>
      <c r="E56" s="11">
        <f t="shared" si="0"/>
        <v>1</v>
      </c>
      <c r="F56" s="11" t="s">
        <v>2</v>
      </c>
      <c r="G56" s="11">
        <v>141</v>
      </c>
      <c r="H56" s="11" t="s">
        <v>7</v>
      </c>
      <c r="I56" s="13">
        <v>300</v>
      </c>
      <c r="J56" s="14" t="s">
        <v>10</v>
      </c>
      <c r="K56" s="14" t="s">
        <v>16</v>
      </c>
      <c r="L56" s="15" t="s">
        <v>37</v>
      </c>
    </row>
    <row r="57" spans="1:12" ht="18.5" x14ac:dyDescent="0.45">
      <c r="A57" s="5" t="s">
        <v>99</v>
      </c>
      <c r="B57" s="11" t="s">
        <v>39</v>
      </c>
      <c r="C57" s="12">
        <v>44252</v>
      </c>
      <c r="D57" s="12">
        <f t="shared" ref="D57" si="51">C57+2</f>
        <v>44254</v>
      </c>
      <c r="E57" s="11">
        <f t="shared" si="0"/>
        <v>2</v>
      </c>
      <c r="F57" s="11" t="s">
        <v>3</v>
      </c>
      <c r="G57" s="11">
        <v>142</v>
      </c>
      <c r="H57" s="11" t="s">
        <v>6</v>
      </c>
      <c r="I57" s="13">
        <v>190</v>
      </c>
      <c r="J57" s="14" t="s">
        <v>10</v>
      </c>
      <c r="K57" s="14" t="s">
        <v>17</v>
      </c>
      <c r="L57" s="15" t="s">
        <v>40</v>
      </c>
    </row>
    <row r="58" spans="1:12" ht="18.5" x14ac:dyDescent="0.45">
      <c r="A58" s="5" t="s">
        <v>100</v>
      </c>
      <c r="B58" s="11" t="s">
        <v>42</v>
      </c>
      <c r="C58" s="12">
        <v>44253</v>
      </c>
      <c r="D58" s="12">
        <f t="shared" ref="D58" si="52">C58+7</f>
        <v>44260</v>
      </c>
      <c r="E58" s="11">
        <f t="shared" si="0"/>
        <v>7</v>
      </c>
      <c r="F58" s="11" t="s">
        <v>2</v>
      </c>
      <c r="G58" s="11">
        <v>143</v>
      </c>
      <c r="H58" s="11" t="s">
        <v>6</v>
      </c>
      <c r="I58" s="13">
        <v>210</v>
      </c>
      <c r="J58" s="14" t="s">
        <v>10</v>
      </c>
      <c r="K58" s="14" t="s">
        <v>18</v>
      </c>
      <c r="L58" s="15" t="s">
        <v>43</v>
      </c>
    </row>
    <row r="59" spans="1:12" ht="18.5" x14ac:dyDescent="0.45">
      <c r="A59" s="5" t="s">
        <v>101</v>
      </c>
      <c r="B59" s="11" t="s">
        <v>45</v>
      </c>
      <c r="C59" s="12">
        <v>44254</v>
      </c>
      <c r="D59" s="12">
        <f t="shared" ref="D59" si="53">C59+3</f>
        <v>44257</v>
      </c>
      <c r="E59" s="11">
        <f t="shared" si="0"/>
        <v>3</v>
      </c>
      <c r="F59" s="11" t="s">
        <v>3</v>
      </c>
      <c r="G59" s="11">
        <v>144</v>
      </c>
      <c r="H59" s="11" t="s">
        <v>8</v>
      </c>
      <c r="I59" s="13">
        <v>2100</v>
      </c>
      <c r="J59" s="14" t="s">
        <v>10</v>
      </c>
      <c r="K59" s="14" t="s">
        <v>19</v>
      </c>
      <c r="L59" s="15" t="s">
        <v>37</v>
      </c>
    </row>
    <row r="60" spans="1:12" ht="18.5" x14ac:dyDescent="0.45">
      <c r="A60" s="5" t="s">
        <v>102</v>
      </c>
      <c r="B60" s="11" t="s">
        <v>47</v>
      </c>
      <c r="C60" s="12">
        <v>44255</v>
      </c>
      <c r="D60" s="12">
        <f t="shared" ref="D60" si="54">C60+4</f>
        <v>44259</v>
      </c>
      <c r="E60" s="11">
        <f t="shared" si="0"/>
        <v>4</v>
      </c>
      <c r="F60" s="11" t="s">
        <v>2</v>
      </c>
      <c r="G60" s="11">
        <v>145</v>
      </c>
      <c r="H60" s="11" t="s">
        <v>7</v>
      </c>
      <c r="I60" s="13">
        <v>1200</v>
      </c>
      <c r="J60" s="14" t="s">
        <v>10</v>
      </c>
      <c r="K60" s="14" t="s">
        <v>13</v>
      </c>
      <c r="L60" s="15" t="s">
        <v>40</v>
      </c>
    </row>
    <row r="61" spans="1:12" ht="18.5" x14ac:dyDescent="0.45">
      <c r="A61" s="5" t="s">
        <v>103</v>
      </c>
      <c r="B61" s="11" t="s">
        <v>49</v>
      </c>
      <c r="C61" s="12">
        <v>44256</v>
      </c>
      <c r="D61" s="12">
        <f t="shared" ref="D61" si="55">C61+1</f>
        <v>44257</v>
      </c>
      <c r="E61" s="11">
        <f t="shared" si="0"/>
        <v>1</v>
      </c>
      <c r="F61" s="11" t="s">
        <v>2</v>
      </c>
      <c r="G61" s="11">
        <v>146</v>
      </c>
      <c r="H61" s="11" t="s">
        <v>8</v>
      </c>
      <c r="I61" s="13">
        <v>1500</v>
      </c>
      <c r="J61" s="14" t="s">
        <v>10</v>
      </c>
      <c r="K61" s="14" t="s">
        <v>12</v>
      </c>
      <c r="L61" s="15" t="s">
        <v>43</v>
      </c>
    </row>
    <row r="62" spans="1:12" ht="18.5" x14ac:dyDescent="0.45">
      <c r="A62" s="5" t="s">
        <v>104</v>
      </c>
      <c r="B62" s="11" t="s">
        <v>36</v>
      </c>
      <c r="C62" s="12">
        <v>44257</v>
      </c>
      <c r="D62" s="12">
        <f t="shared" ref="D62" si="56">C62+2</f>
        <v>44259</v>
      </c>
      <c r="E62" s="11">
        <f t="shared" si="0"/>
        <v>2</v>
      </c>
      <c r="F62" s="11" t="s">
        <v>2</v>
      </c>
      <c r="G62" s="11">
        <v>147</v>
      </c>
      <c r="H62" s="11" t="s">
        <v>7</v>
      </c>
      <c r="I62" s="13">
        <v>300</v>
      </c>
      <c r="J62" s="14" t="s">
        <v>10</v>
      </c>
      <c r="K62" s="14" t="s">
        <v>12</v>
      </c>
      <c r="L62" s="15" t="s">
        <v>37</v>
      </c>
    </row>
    <row r="63" spans="1:12" ht="18.5" x14ac:dyDescent="0.45">
      <c r="A63" s="5" t="s">
        <v>105</v>
      </c>
      <c r="B63" s="11" t="s">
        <v>39</v>
      </c>
      <c r="C63" s="12">
        <v>44258</v>
      </c>
      <c r="D63" s="12">
        <f t="shared" ref="D63" si="57">C63+7</f>
        <v>44265</v>
      </c>
      <c r="E63" s="11">
        <f t="shared" si="0"/>
        <v>7</v>
      </c>
      <c r="F63" s="11" t="s">
        <v>3</v>
      </c>
      <c r="G63" s="11">
        <v>148</v>
      </c>
      <c r="H63" s="11" t="s">
        <v>6</v>
      </c>
      <c r="I63" s="13">
        <v>190</v>
      </c>
      <c r="J63" s="14" t="s">
        <v>10</v>
      </c>
      <c r="K63" s="14" t="s">
        <v>13</v>
      </c>
      <c r="L63" s="15" t="s">
        <v>40</v>
      </c>
    </row>
    <row r="64" spans="1:12" ht="18.5" x14ac:dyDescent="0.45">
      <c r="A64" s="5" t="s">
        <v>106</v>
      </c>
      <c r="B64" s="11" t="s">
        <v>42</v>
      </c>
      <c r="C64" s="12">
        <v>44259</v>
      </c>
      <c r="D64" s="12">
        <f t="shared" ref="D64" si="58">C64+3</f>
        <v>44262</v>
      </c>
      <c r="E64" s="11">
        <f t="shared" si="0"/>
        <v>3</v>
      </c>
      <c r="F64" s="11" t="s">
        <v>3</v>
      </c>
      <c r="G64" s="11">
        <v>149</v>
      </c>
      <c r="H64" s="11" t="s">
        <v>6</v>
      </c>
      <c r="I64" s="13">
        <v>210</v>
      </c>
      <c r="J64" s="14" t="s">
        <v>10</v>
      </c>
      <c r="K64" s="14" t="s">
        <v>14</v>
      </c>
      <c r="L64" s="15" t="s">
        <v>43</v>
      </c>
    </row>
    <row r="65" spans="1:12" ht="18.5" x14ac:dyDescent="0.45">
      <c r="A65" s="5" t="s">
        <v>107</v>
      </c>
      <c r="B65" s="11" t="s">
        <v>45</v>
      </c>
      <c r="C65" s="12">
        <v>44260</v>
      </c>
      <c r="D65" s="12">
        <f t="shared" ref="D65" si="59">C65+4</f>
        <v>44264</v>
      </c>
      <c r="E65" s="11">
        <f t="shared" si="0"/>
        <v>4</v>
      </c>
      <c r="F65" s="11" t="s">
        <v>2</v>
      </c>
      <c r="G65" s="11">
        <v>150</v>
      </c>
      <c r="H65" s="11" t="s">
        <v>8</v>
      </c>
      <c r="I65" s="13">
        <v>2100</v>
      </c>
      <c r="J65" s="14" t="s">
        <v>10</v>
      </c>
      <c r="K65" s="14" t="s">
        <v>15</v>
      </c>
      <c r="L65" s="15" t="s">
        <v>37</v>
      </c>
    </row>
    <row r="66" spans="1:12" ht="18.5" x14ac:dyDescent="0.45">
      <c r="A66" s="5" t="s">
        <v>108</v>
      </c>
      <c r="B66" s="11" t="s">
        <v>47</v>
      </c>
      <c r="C66" s="12">
        <v>44261</v>
      </c>
      <c r="D66" s="12">
        <f t="shared" ref="D66" si="60">C66+1</f>
        <v>44262</v>
      </c>
      <c r="E66" s="11">
        <f t="shared" ref="E66:E129" si="61">D66-C66</f>
        <v>1</v>
      </c>
      <c r="F66" s="11" t="s">
        <v>2</v>
      </c>
      <c r="G66" s="11">
        <v>151</v>
      </c>
      <c r="H66" s="11" t="s">
        <v>7</v>
      </c>
      <c r="I66" s="13">
        <v>1200</v>
      </c>
      <c r="J66" s="14" t="s">
        <v>10</v>
      </c>
      <c r="K66" s="14" t="s">
        <v>16</v>
      </c>
      <c r="L66" s="15" t="s">
        <v>40</v>
      </c>
    </row>
    <row r="67" spans="1:12" ht="18.5" x14ac:dyDescent="0.45">
      <c r="A67" s="5" t="s">
        <v>109</v>
      </c>
      <c r="B67" s="11" t="s">
        <v>49</v>
      </c>
      <c r="C67" s="12">
        <v>44262</v>
      </c>
      <c r="D67" s="12">
        <f t="shared" ref="D67" si="62">C67+2</f>
        <v>44264</v>
      </c>
      <c r="E67" s="11">
        <f t="shared" si="61"/>
        <v>2</v>
      </c>
      <c r="F67" s="11" t="s">
        <v>3</v>
      </c>
      <c r="G67" s="11">
        <v>152</v>
      </c>
      <c r="H67" s="11" t="s">
        <v>8</v>
      </c>
      <c r="I67" s="13">
        <v>1500</v>
      </c>
      <c r="J67" s="14" t="s">
        <v>10</v>
      </c>
      <c r="K67" s="14" t="s">
        <v>17</v>
      </c>
      <c r="L67" s="15" t="s">
        <v>43</v>
      </c>
    </row>
    <row r="68" spans="1:12" ht="18.5" x14ac:dyDescent="0.45">
      <c r="A68" s="5" t="s">
        <v>110</v>
      </c>
      <c r="B68" s="11" t="s">
        <v>49</v>
      </c>
      <c r="C68" s="12">
        <v>44263</v>
      </c>
      <c r="D68" s="12">
        <f t="shared" ref="D68" si="63">C68+7</f>
        <v>44270</v>
      </c>
      <c r="E68" s="11">
        <f t="shared" si="61"/>
        <v>7</v>
      </c>
      <c r="F68" s="11" t="s">
        <v>2</v>
      </c>
      <c r="G68" s="11">
        <v>153</v>
      </c>
      <c r="H68" s="11" t="s">
        <v>7</v>
      </c>
      <c r="I68" s="13">
        <v>300</v>
      </c>
      <c r="J68" s="14" t="s">
        <v>10</v>
      </c>
      <c r="K68" s="14" t="s">
        <v>18</v>
      </c>
      <c r="L68" s="15" t="s">
        <v>37</v>
      </c>
    </row>
    <row r="69" spans="1:12" ht="18.5" x14ac:dyDescent="0.45">
      <c r="A69" s="5" t="s">
        <v>111</v>
      </c>
      <c r="B69" s="11" t="s">
        <v>36</v>
      </c>
      <c r="C69" s="12">
        <v>44264</v>
      </c>
      <c r="D69" s="12">
        <f t="shared" ref="D69" si="64">C69+3</f>
        <v>44267</v>
      </c>
      <c r="E69" s="11">
        <f t="shared" si="61"/>
        <v>3</v>
      </c>
      <c r="F69" s="11" t="s">
        <v>2</v>
      </c>
      <c r="G69" s="11">
        <v>154</v>
      </c>
      <c r="H69" s="11" t="s">
        <v>6</v>
      </c>
      <c r="I69" s="13">
        <v>190</v>
      </c>
      <c r="J69" s="14" t="s">
        <v>10</v>
      </c>
      <c r="K69" s="14" t="s">
        <v>19</v>
      </c>
      <c r="L69" s="15" t="s">
        <v>40</v>
      </c>
    </row>
    <row r="70" spans="1:12" ht="18.5" x14ac:dyDescent="0.45">
      <c r="A70" s="5" t="s">
        <v>112</v>
      </c>
      <c r="B70" s="11" t="s">
        <v>39</v>
      </c>
      <c r="C70" s="12">
        <v>44265</v>
      </c>
      <c r="D70" s="12">
        <f t="shared" ref="D70" si="65">C70+4</f>
        <v>44269</v>
      </c>
      <c r="E70" s="11">
        <f t="shared" si="61"/>
        <v>4</v>
      </c>
      <c r="F70" s="11" t="s">
        <v>2</v>
      </c>
      <c r="G70" s="11">
        <v>155</v>
      </c>
      <c r="H70" s="11" t="s">
        <v>6</v>
      </c>
      <c r="I70" s="13">
        <v>210</v>
      </c>
      <c r="J70" s="14" t="s">
        <v>10</v>
      </c>
      <c r="K70" s="14" t="s">
        <v>13</v>
      </c>
      <c r="L70" s="15" t="s">
        <v>43</v>
      </c>
    </row>
    <row r="71" spans="1:12" ht="18.5" x14ac:dyDescent="0.45">
      <c r="A71" s="5" t="s">
        <v>113</v>
      </c>
      <c r="B71" s="11" t="s">
        <v>42</v>
      </c>
      <c r="C71" s="12">
        <v>44266</v>
      </c>
      <c r="D71" s="12">
        <f t="shared" ref="D71" si="66">C71+1</f>
        <v>44267</v>
      </c>
      <c r="E71" s="11">
        <f t="shared" si="61"/>
        <v>1</v>
      </c>
      <c r="F71" s="11" t="s">
        <v>2</v>
      </c>
      <c r="G71" s="11">
        <v>156</v>
      </c>
      <c r="H71" s="11" t="s">
        <v>6</v>
      </c>
      <c r="I71" s="13">
        <v>190</v>
      </c>
      <c r="J71" s="14" t="s">
        <v>10</v>
      </c>
      <c r="K71" s="14" t="s">
        <v>12</v>
      </c>
      <c r="L71" s="15" t="s">
        <v>37</v>
      </c>
    </row>
    <row r="72" spans="1:12" ht="18.5" x14ac:dyDescent="0.45">
      <c r="A72" s="5" t="s">
        <v>114</v>
      </c>
      <c r="B72" s="11" t="s">
        <v>45</v>
      </c>
      <c r="C72" s="12">
        <v>44267</v>
      </c>
      <c r="D72" s="12">
        <f t="shared" ref="D72" si="67">C72+2</f>
        <v>44269</v>
      </c>
      <c r="E72" s="11">
        <f t="shared" si="61"/>
        <v>2</v>
      </c>
      <c r="F72" s="11" t="s">
        <v>2</v>
      </c>
      <c r="G72" s="11">
        <v>157</v>
      </c>
      <c r="H72" s="11" t="s">
        <v>6</v>
      </c>
      <c r="I72" s="13">
        <v>210</v>
      </c>
      <c r="J72" s="14" t="s">
        <v>10</v>
      </c>
      <c r="K72" s="14" t="s">
        <v>12</v>
      </c>
      <c r="L72" s="15" t="s">
        <v>40</v>
      </c>
    </row>
    <row r="73" spans="1:12" ht="18.5" x14ac:dyDescent="0.45">
      <c r="A73" s="5" t="s">
        <v>115</v>
      </c>
      <c r="B73" s="11" t="s">
        <v>47</v>
      </c>
      <c r="C73" s="12">
        <v>44268</v>
      </c>
      <c r="D73" s="12">
        <f t="shared" ref="D73" si="68">C73+7</f>
        <v>44275</v>
      </c>
      <c r="E73" s="11">
        <f t="shared" si="61"/>
        <v>7</v>
      </c>
      <c r="F73" s="11" t="s">
        <v>2</v>
      </c>
      <c r="G73" s="11">
        <v>158</v>
      </c>
      <c r="H73" s="11" t="s">
        <v>6</v>
      </c>
      <c r="I73" s="13">
        <v>190</v>
      </c>
      <c r="J73" s="14" t="s">
        <v>9</v>
      </c>
      <c r="K73" s="14" t="s">
        <v>13</v>
      </c>
      <c r="L73" s="15" t="s">
        <v>43</v>
      </c>
    </row>
    <row r="74" spans="1:12" ht="18.5" x14ac:dyDescent="0.45">
      <c r="A74" s="5" t="s">
        <v>116</v>
      </c>
      <c r="B74" s="11" t="s">
        <v>49</v>
      </c>
      <c r="C74" s="12">
        <v>44269</v>
      </c>
      <c r="D74" s="12">
        <f t="shared" ref="D74" si="69">C74+3</f>
        <v>44272</v>
      </c>
      <c r="E74" s="11">
        <f t="shared" si="61"/>
        <v>3</v>
      </c>
      <c r="F74" s="11" t="s">
        <v>2</v>
      </c>
      <c r="G74" s="11">
        <v>159</v>
      </c>
      <c r="H74" s="11" t="s">
        <v>6</v>
      </c>
      <c r="I74" s="13">
        <v>210</v>
      </c>
      <c r="J74" s="14" t="s">
        <v>9</v>
      </c>
      <c r="K74" s="14" t="s">
        <v>14</v>
      </c>
      <c r="L74" s="15" t="s">
        <v>37</v>
      </c>
    </row>
    <row r="75" spans="1:12" ht="18.5" x14ac:dyDescent="0.45">
      <c r="A75" s="5" t="s">
        <v>117</v>
      </c>
      <c r="B75" s="11" t="s">
        <v>36</v>
      </c>
      <c r="C75" s="12">
        <v>44270</v>
      </c>
      <c r="D75" s="12">
        <f t="shared" ref="D75" si="70">C75+4</f>
        <v>44274</v>
      </c>
      <c r="E75" s="11">
        <f t="shared" si="61"/>
        <v>4</v>
      </c>
      <c r="F75" s="11" t="s">
        <v>2</v>
      </c>
      <c r="G75" s="11">
        <v>160</v>
      </c>
      <c r="H75" s="11" t="s">
        <v>6</v>
      </c>
      <c r="I75" s="13">
        <v>190</v>
      </c>
      <c r="J75" s="14" t="s">
        <v>9</v>
      </c>
      <c r="K75" s="14" t="s">
        <v>15</v>
      </c>
      <c r="L75" s="15" t="s">
        <v>40</v>
      </c>
    </row>
    <row r="76" spans="1:12" ht="18.5" x14ac:dyDescent="0.45">
      <c r="A76" s="5" t="s">
        <v>118</v>
      </c>
      <c r="B76" s="11" t="s">
        <v>39</v>
      </c>
      <c r="C76" s="12">
        <v>44271</v>
      </c>
      <c r="D76" s="12">
        <f t="shared" ref="D76" si="71">C76+1</f>
        <v>44272</v>
      </c>
      <c r="E76" s="11">
        <f t="shared" si="61"/>
        <v>1</v>
      </c>
      <c r="F76" s="11" t="s">
        <v>3</v>
      </c>
      <c r="G76" s="11">
        <v>161</v>
      </c>
      <c r="H76" s="11" t="s">
        <v>6</v>
      </c>
      <c r="I76" s="13">
        <v>210</v>
      </c>
      <c r="J76" s="14" t="s">
        <v>9</v>
      </c>
      <c r="K76" s="14" t="s">
        <v>16</v>
      </c>
      <c r="L76" s="15" t="s">
        <v>43</v>
      </c>
    </row>
    <row r="77" spans="1:12" ht="18.5" x14ac:dyDescent="0.45">
      <c r="A77" s="5" t="s">
        <v>119</v>
      </c>
      <c r="B77" s="11" t="s">
        <v>42</v>
      </c>
      <c r="C77" s="12">
        <v>44272</v>
      </c>
      <c r="D77" s="12">
        <f t="shared" ref="D77" si="72">C77+2</f>
        <v>44274</v>
      </c>
      <c r="E77" s="11">
        <f t="shared" si="61"/>
        <v>2</v>
      </c>
      <c r="F77" s="11" t="s">
        <v>2</v>
      </c>
      <c r="G77" s="11">
        <v>162</v>
      </c>
      <c r="H77" s="11" t="s">
        <v>6</v>
      </c>
      <c r="I77" s="13">
        <v>190</v>
      </c>
      <c r="J77" s="14" t="s">
        <v>9</v>
      </c>
      <c r="K77" s="14" t="s">
        <v>17</v>
      </c>
      <c r="L77" s="15" t="s">
        <v>37</v>
      </c>
    </row>
    <row r="78" spans="1:12" ht="18.5" x14ac:dyDescent="0.45">
      <c r="A78" s="5" t="s">
        <v>120</v>
      </c>
      <c r="B78" s="11" t="s">
        <v>45</v>
      </c>
      <c r="C78" s="12">
        <v>44273</v>
      </c>
      <c r="D78" s="12">
        <f t="shared" ref="D78" si="73">C78+7</f>
        <v>44280</v>
      </c>
      <c r="E78" s="11">
        <f t="shared" si="61"/>
        <v>7</v>
      </c>
      <c r="F78" s="11" t="s">
        <v>3</v>
      </c>
      <c r="G78" s="11">
        <v>163</v>
      </c>
      <c r="H78" s="11" t="s">
        <v>6</v>
      </c>
      <c r="I78" s="13">
        <v>210</v>
      </c>
      <c r="J78" s="14" t="s">
        <v>9</v>
      </c>
      <c r="K78" s="14" t="s">
        <v>18</v>
      </c>
      <c r="L78" s="15" t="s">
        <v>40</v>
      </c>
    </row>
    <row r="79" spans="1:12" ht="18.5" x14ac:dyDescent="0.45">
      <c r="A79" s="5" t="s">
        <v>121</v>
      </c>
      <c r="B79" s="11" t="s">
        <v>47</v>
      </c>
      <c r="C79" s="12">
        <v>44274</v>
      </c>
      <c r="D79" s="12">
        <f t="shared" ref="D79" si="74">C79+3</f>
        <v>44277</v>
      </c>
      <c r="E79" s="11">
        <f t="shared" si="61"/>
        <v>3</v>
      </c>
      <c r="F79" s="11" t="s">
        <v>2</v>
      </c>
      <c r="G79" s="11">
        <v>164</v>
      </c>
      <c r="H79" s="11" t="s">
        <v>7</v>
      </c>
      <c r="I79" s="13">
        <v>1200</v>
      </c>
      <c r="J79" s="14" t="s">
        <v>9</v>
      </c>
      <c r="K79" s="14" t="s">
        <v>19</v>
      </c>
      <c r="L79" s="15" t="s">
        <v>43</v>
      </c>
    </row>
    <row r="80" spans="1:12" ht="18.5" x14ac:dyDescent="0.45">
      <c r="A80" s="5" t="s">
        <v>122</v>
      </c>
      <c r="B80" s="11" t="s">
        <v>49</v>
      </c>
      <c r="C80" s="12">
        <v>44275</v>
      </c>
      <c r="D80" s="12">
        <f t="shared" ref="D80" si="75">C80+4</f>
        <v>44279</v>
      </c>
      <c r="E80" s="11">
        <f t="shared" si="61"/>
        <v>4</v>
      </c>
      <c r="F80" s="11" t="s">
        <v>2</v>
      </c>
      <c r="G80" s="11">
        <v>165</v>
      </c>
      <c r="H80" s="11" t="s">
        <v>8</v>
      </c>
      <c r="I80" s="13">
        <v>1500</v>
      </c>
      <c r="J80" s="14" t="s">
        <v>9</v>
      </c>
      <c r="K80" s="14" t="s">
        <v>13</v>
      </c>
      <c r="L80" s="15" t="s">
        <v>37</v>
      </c>
    </row>
    <row r="81" spans="1:12" ht="18.5" x14ac:dyDescent="0.45">
      <c r="A81" s="5" t="s">
        <v>123</v>
      </c>
      <c r="B81" s="11" t="s">
        <v>49</v>
      </c>
      <c r="C81" s="12">
        <v>44276</v>
      </c>
      <c r="D81" s="12">
        <f t="shared" ref="D81" si="76">C81+1</f>
        <v>44277</v>
      </c>
      <c r="E81" s="11">
        <f t="shared" si="61"/>
        <v>1</v>
      </c>
      <c r="F81" s="11" t="s">
        <v>2</v>
      </c>
      <c r="G81" s="11">
        <v>166</v>
      </c>
      <c r="H81" s="11" t="s">
        <v>7</v>
      </c>
      <c r="I81" s="13">
        <v>300</v>
      </c>
      <c r="J81" s="14" t="s">
        <v>9</v>
      </c>
      <c r="K81" s="14" t="s">
        <v>12</v>
      </c>
      <c r="L81" s="15" t="s">
        <v>40</v>
      </c>
    </row>
    <row r="82" spans="1:12" ht="18.5" x14ac:dyDescent="0.45">
      <c r="A82" s="5" t="s">
        <v>124</v>
      </c>
      <c r="B82" s="11" t="s">
        <v>36</v>
      </c>
      <c r="C82" s="12">
        <v>44277</v>
      </c>
      <c r="D82" s="12">
        <f t="shared" ref="D82" si="77">C82+2</f>
        <v>44279</v>
      </c>
      <c r="E82" s="11">
        <f t="shared" si="61"/>
        <v>2</v>
      </c>
      <c r="F82" s="11" t="s">
        <v>2</v>
      </c>
      <c r="G82" s="11">
        <v>167</v>
      </c>
      <c r="H82" s="11" t="s">
        <v>6</v>
      </c>
      <c r="I82" s="13">
        <v>190</v>
      </c>
      <c r="J82" s="14" t="s">
        <v>9</v>
      </c>
      <c r="K82" s="14" t="s">
        <v>12</v>
      </c>
      <c r="L82" s="15" t="s">
        <v>43</v>
      </c>
    </row>
    <row r="83" spans="1:12" ht="18.5" x14ac:dyDescent="0.45">
      <c r="A83" s="5" t="s">
        <v>125</v>
      </c>
      <c r="B83" s="11" t="s">
        <v>36</v>
      </c>
      <c r="C83" s="12">
        <v>44278</v>
      </c>
      <c r="D83" s="12">
        <f t="shared" ref="D83" si="78">C83+7</f>
        <v>44285</v>
      </c>
      <c r="E83" s="11">
        <f t="shared" si="61"/>
        <v>7</v>
      </c>
      <c r="F83" s="11" t="s">
        <v>3</v>
      </c>
      <c r="G83" s="11">
        <v>168</v>
      </c>
      <c r="H83" s="11" t="s">
        <v>6</v>
      </c>
      <c r="I83" s="13">
        <v>210</v>
      </c>
      <c r="J83" s="14" t="s">
        <v>9</v>
      </c>
      <c r="K83" s="14" t="s">
        <v>13</v>
      </c>
      <c r="L83" s="15" t="s">
        <v>37</v>
      </c>
    </row>
    <row r="84" spans="1:12" ht="18.5" x14ac:dyDescent="0.45">
      <c r="A84" s="5" t="s">
        <v>126</v>
      </c>
      <c r="B84" s="11" t="s">
        <v>36</v>
      </c>
      <c r="C84" s="12">
        <v>44279</v>
      </c>
      <c r="D84" s="12">
        <f t="shared" ref="D84" si="79">C84+3</f>
        <v>44282</v>
      </c>
      <c r="E84" s="11">
        <f t="shared" si="61"/>
        <v>3</v>
      </c>
      <c r="F84" s="11" t="s">
        <v>4</v>
      </c>
      <c r="G84" s="11">
        <v>169</v>
      </c>
      <c r="H84" s="11" t="s">
        <v>8</v>
      </c>
      <c r="I84" s="13">
        <v>2100</v>
      </c>
      <c r="J84" s="14" t="s">
        <v>9</v>
      </c>
      <c r="K84" s="14" t="s">
        <v>14</v>
      </c>
      <c r="L84" s="15" t="s">
        <v>40</v>
      </c>
    </row>
    <row r="85" spans="1:12" ht="18.5" x14ac:dyDescent="0.45">
      <c r="A85" s="5" t="s">
        <v>127</v>
      </c>
      <c r="B85" s="11" t="s">
        <v>36</v>
      </c>
      <c r="C85" s="12">
        <v>44280</v>
      </c>
      <c r="D85" s="12">
        <f t="shared" ref="D85" si="80">C85+4</f>
        <v>44284</v>
      </c>
      <c r="E85" s="11">
        <f t="shared" si="61"/>
        <v>4</v>
      </c>
      <c r="F85" s="11" t="s">
        <v>5</v>
      </c>
      <c r="G85" s="11">
        <v>170</v>
      </c>
      <c r="H85" s="11" t="s">
        <v>7</v>
      </c>
      <c r="I85" s="13">
        <v>1200</v>
      </c>
      <c r="J85" s="14" t="s">
        <v>9</v>
      </c>
      <c r="K85" s="14" t="s">
        <v>15</v>
      </c>
      <c r="L85" s="15" t="s">
        <v>43</v>
      </c>
    </row>
    <row r="86" spans="1:12" ht="18.5" x14ac:dyDescent="0.45">
      <c r="A86" s="5" t="s">
        <v>128</v>
      </c>
      <c r="B86" s="11" t="s">
        <v>36</v>
      </c>
      <c r="C86" s="12">
        <v>44281</v>
      </c>
      <c r="D86" s="12">
        <f t="shared" ref="D86" si="81">C86+1</f>
        <v>44282</v>
      </c>
      <c r="E86" s="11">
        <f t="shared" si="61"/>
        <v>1</v>
      </c>
      <c r="F86" s="11" t="s">
        <v>2</v>
      </c>
      <c r="G86" s="11">
        <v>171</v>
      </c>
      <c r="H86" s="11" t="s">
        <v>8</v>
      </c>
      <c r="I86" s="13">
        <v>1500</v>
      </c>
      <c r="J86" s="14" t="s">
        <v>9</v>
      </c>
      <c r="K86" s="14" t="s">
        <v>16</v>
      </c>
      <c r="L86" s="15" t="s">
        <v>37</v>
      </c>
    </row>
    <row r="87" spans="1:12" ht="18.5" x14ac:dyDescent="0.45">
      <c r="A87" s="5" t="s">
        <v>129</v>
      </c>
      <c r="B87" s="11" t="s">
        <v>36</v>
      </c>
      <c r="C87" s="12">
        <v>44282</v>
      </c>
      <c r="D87" s="12">
        <f t="shared" ref="D87" si="82">C87+2</f>
        <v>44284</v>
      </c>
      <c r="E87" s="11">
        <f t="shared" si="61"/>
        <v>2</v>
      </c>
      <c r="F87" s="11" t="s">
        <v>3</v>
      </c>
      <c r="G87" s="11">
        <v>172</v>
      </c>
      <c r="H87" s="11" t="s">
        <v>7</v>
      </c>
      <c r="I87" s="13">
        <v>300</v>
      </c>
      <c r="J87" s="14" t="s">
        <v>9</v>
      </c>
      <c r="K87" s="14" t="s">
        <v>17</v>
      </c>
      <c r="L87" s="15" t="s">
        <v>40</v>
      </c>
    </row>
    <row r="88" spans="1:12" ht="18.5" x14ac:dyDescent="0.45">
      <c r="A88" s="5" t="s">
        <v>130</v>
      </c>
      <c r="B88" s="11" t="s">
        <v>36</v>
      </c>
      <c r="C88" s="12">
        <v>44283</v>
      </c>
      <c r="D88" s="12">
        <f t="shared" ref="D88" si="83">C88+7</f>
        <v>44290</v>
      </c>
      <c r="E88" s="11">
        <f t="shared" si="61"/>
        <v>7</v>
      </c>
      <c r="F88" s="11" t="s">
        <v>4</v>
      </c>
      <c r="G88" s="11">
        <v>173</v>
      </c>
      <c r="H88" s="11" t="s">
        <v>6</v>
      </c>
      <c r="I88" s="13">
        <v>190</v>
      </c>
      <c r="J88" s="14" t="s">
        <v>9</v>
      </c>
      <c r="K88" s="14" t="s">
        <v>18</v>
      </c>
      <c r="L88" s="15" t="s">
        <v>43</v>
      </c>
    </row>
    <row r="89" spans="1:12" ht="18.5" x14ac:dyDescent="0.45">
      <c r="A89" s="5" t="s">
        <v>131</v>
      </c>
      <c r="B89" s="11" t="s">
        <v>36</v>
      </c>
      <c r="C89" s="12">
        <v>44284</v>
      </c>
      <c r="D89" s="12">
        <f t="shared" ref="D89" si="84">C89+3</f>
        <v>44287</v>
      </c>
      <c r="E89" s="11">
        <f t="shared" si="61"/>
        <v>3</v>
      </c>
      <c r="F89" s="11" t="s">
        <v>5</v>
      </c>
      <c r="G89" s="11">
        <v>174</v>
      </c>
      <c r="H89" s="11" t="s">
        <v>6</v>
      </c>
      <c r="I89" s="13">
        <v>210</v>
      </c>
      <c r="J89" s="14" t="s">
        <v>9</v>
      </c>
      <c r="K89" s="14" t="s">
        <v>19</v>
      </c>
      <c r="L89" s="15" t="s">
        <v>37</v>
      </c>
    </row>
    <row r="90" spans="1:12" ht="18.5" x14ac:dyDescent="0.45">
      <c r="A90" s="5" t="s">
        <v>132</v>
      </c>
      <c r="B90" s="11" t="s">
        <v>39</v>
      </c>
      <c r="C90" s="12">
        <v>44285</v>
      </c>
      <c r="D90" s="12">
        <f t="shared" ref="D90" si="85">C90+4</f>
        <v>44289</v>
      </c>
      <c r="E90" s="11">
        <f t="shared" si="61"/>
        <v>4</v>
      </c>
      <c r="F90" s="11" t="s">
        <v>3</v>
      </c>
      <c r="G90" s="11">
        <v>175</v>
      </c>
      <c r="H90" s="11" t="s">
        <v>7</v>
      </c>
      <c r="I90" s="13">
        <v>300</v>
      </c>
      <c r="J90" s="14" t="s">
        <v>9</v>
      </c>
      <c r="K90" s="14" t="s">
        <v>13</v>
      </c>
      <c r="L90" s="15" t="s">
        <v>40</v>
      </c>
    </row>
    <row r="91" spans="1:12" ht="18.5" x14ac:dyDescent="0.45">
      <c r="A91" s="5" t="s">
        <v>133</v>
      </c>
      <c r="B91" s="11" t="s">
        <v>39</v>
      </c>
      <c r="C91" s="12">
        <v>44286</v>
      </c>
      <c r="D91" s="12">
        <f t="shared" ref="D91" si="86">C91+1</f>
        <v>44287</v>
      </c>
      <c r="E91" s="11">
        <f t="shared" si="61"/>
        <v>1</v>
      </c>
      <c r="F91" s="11" t="s">
        <v>2</v>
      </c>
      <c r="G91" s="11">
        <v>176</v>
      </c>
      <c r="H91" s="11" t="s">
        <v>7</v>
      </c>
      <c r="I91" s="13">
        <v>300</v>
      </c>
      <c r="J91" s="14" t="s">
        <v>9</v>
      </c>
      <c r="K91" s="14" t="s">
        <v>12</v>
      </c>
      <c r="L91" s="15" t="s">
        <v>43</v>
      </c>
    </row>
    <row r="92" spans="1:12" ht="18.5" x14ac:dyDescent="0.45">
      <c r="A92" s="5" t="s">
        <v>134</v>
      </c>
      <c r="B92" s="11" t="s">
        <v>39</v>
      </c>
      <c r="C92" s="12">
        <v>44287</v>
      </c>
      <c r="D92" s="12">
        <f t="shared" ref="D92" si="87">C92+2</f>
        <v>44289</v>
      </c>
      <c r="E92" s="11">
        <f t="shared" si="61"/>
        <v>2</v>
      </c>
      <c r="F92" s="11" t="s">
        <v>4</v>
      </c>
      <c r="G92" s="11">
        <v>177</v>
      </c>
      <c r="H92" s="11" t="s">
        <v>7</v>
      </c>
      <c r="I92" s="13">
        <v>300</v>
      </c>
      <c r="J92" s="14" t="s">
        <v>9</v>
      </c>
      <c r="K92" s="14" t="s">
        <v>12</v>
      </c>
      <c r="L92" s="15" t="s">
        <v>37</v>
      </c>
    </row>
    <row r="93" spans="1:12" ht="18.5" x14ac:dyDescent="0.45">
      <c r="A93" s="5" t="s">
        <v>135</v>
      </c>
      <c r="B93" s="11" t="s">
        <v>39</v>
      </c>
      <c r="C93" s="12">
        <v>44288</v>
      </c>
      <c r="D93" s="12">
        <f t="shared" ref="D93" si="88">C93+7</f>
        <v>44295</v>
      </c>
      <c r="E93" s="11">
        <f t="shared" si="61"/>
        <v>7</v>
      </c>
      <c r="F93" s="11" t="s">
        <v>5</v>
      </c>
      <c r="G93" s="11">
        <v>178</v>
      </c>
      <c r="H93" s="11" t="s">
        <v>7</v>
      </c>
      <c r="I93" s="13">
        <v>300</v>
      </c>
      <c r="J93" s="14" t="s">
        <v>9</v>
      </c>
      <c r="K93" s="14" t="s">
        <v>13</v>
      </c>
      <c r="L93" s="15" t="s">
        <v>40</v>
      </c>
    </row>
    <row r="94" spans="1:12" ht="18.5" x14ac:dyDescent="0.45">
      <c r="A94" s="5" t="s">
        <v>136</v>
      </c>
      <c r="B94" s="11" t="s">
        <v>39</v>
      </c>
      <c r="C94" s="12">
        <v>44289</v>
      </c>
      <c r="D94" s="12">
        <f t="shared" ref="D94" si="89">C94+3</f>
        <v>44292</v>
      </c>
      <c r="E94" s="11">
        <f t="shared" si="61"/>
        <v>3</v>
      </c>
      <c r="F94" s="11" t="s">
        <v>3</v>
      </c>
      <c r="G94" s="11">
        <v>179</v>
      </c>
      <c r="H94" s="11" t="s">
        <v>7</v>
      </c>
      <c r="I94" s="13">
        <v>300</v>
      </c>
      <c r="J94" s="14" t="s">
        <v>9</v>
      </c>
      <c r="K94" s="14" t="s">
        <v>14</v>
      </c>
      <c r="L94" s="15" t="s">
        <v>43</v>
      </c>
    </row>
    <row r="95" spans="1:12" ht="18.5" x14ac:dyDescent="0.45">
      <c r="A95" s="5" t="s">
        <v>137</v>
      </c>
      <c r="B95" s="11" t="s">
        <v>39</v>
      </c>
      <c r="C95" s="12">
        <v>44290</v>
      </c>
      <c r="D95" s="12">
        <f t="shared" ref="D95" si="90">C95+4</f>
        <v>44294</v>
      </c>
      <c r="E95" s="11">
        <f t="shared" si="61"/>
        <v>4</v>
      </c>
      <c r="F95" s="11" t="s">
        <v>2</v>
      </c>
      <c r="G95" s="11">
        <v>180</v>
      </c>
      <c r="H95" s="11" t="s">
        <v>7</v>
      </c>
      <c r="I95" s="13">
        <v>300</v>
      </c>
      <c r="J95" s="14" t="s">
        <v>9</v>
      </c>
      <c r="K95" s="14" t="s">
        <v>15</v>
      </c>
      <c r="L95" s="15" t="s">
        <v>37</v>
      </c>
    </row>
    <row r="96" spans="1:12" ht="18.5" x14ac:dyDescent="0.45">
      <c r="A96" s="5" t="s">
        <v>138</v>
      </c>
      <c r="B96" s="11" t="s">
        <v>39</v>
      </c>
      <c r="C96" s="12">
        <v>44291</v>
      </c>
      <c r="D96" s="12">
        <f t="shared" ref="D96" si="91">C96+1</f>
        <v>44292</v>
      </c>
      <c r="E96" s="11">
        <f t="shared" si="61"/>
        <v>1</v>
      </c>
      <c r="F96" s="11" t="s">
        <v>4</v>
      </c>
      <c r="G96" s="11">
        <v>181</v>
      </c>
      <c r="H96" s="11" t="s">
        <v>7</v>
      </c>
      <c r="I96" s="13">
        <v>300</v>
      </c>
      <c r="J96" s="14" t="s">
        <v>9</v>
      </c>
      <c r="K96" s="14" t="s">
        <v>16</v>
      </c>
      <c r="L96" s="15" t="s">
        <v>40</v>
      </c>
    </row>
    <row r="97" spans="1:12" ht="18.5" x14ac:dyDescent="0.45">
      <c r="A97" s="5" t="s">
        <v>139</v>
      </c>
      <c r="B97" s="11" t="s">
        <v>39</v>
      </c>
      <c r="C97" s="12">
        <v>44292</v>
      </c>
      <c r="D97" s="12">
        <f t="shared" ref="D97" si="92">C97+2</f>
        <v>44294</v>
      </c>
      <c r="E97" s="11">
        <f t="shared" si="61"/>
        <v>2</v>
      </c>
      <c r="F97" s="11" t="s">
        <v>5</v>
      </c>
      <c r="G97" s="11">
        <v>182</v>
      </c>
      <c r="H97" s="11" t="s">
        <v>7</v>
      </c>
      <c r="I97" s="13">
        <v>300</v>
      </c>
      <c r="J97" s="14" t="s">
        <v>9</v>
      </c>
      <c r="K97" s="14" t="s">
        <v>17</v>
      </c>
      <c r="L97" s="15" t="s">
        <v>43</v>
      </c>
    </row>
    <row r="98" spans="1:12" ht="18.5" x14ac:dyDescent="0.45">
      <c r="A98" s="5" t="s">
        <v>140</v>
      </c>
      <c r="B98" s="11" t="s">
        <v>42</v>
      </c>
      <c r="C98" s="12">
        <v>44293</v>
      </c>
      <c r="D98" s="12">
        <f t="shared" ref="D98" si="93">C98+7</f>
        <v>44300</v>
      </c>
      <c r="E98" s="11">
        <f t="shared" si="61"/>
        <v>7</v>
      </c>
      <c r="F98" s="11" t="s">
        <v>5</v>
      </c>
      <c r="G98" s="11">
        <v>183</v>
      </c>
      <c r="H98" s="11" t="s">
        <v>7</v>
      </c>
      <c r="I98" s="13">
        <v>300</v>
      </c>
      <c r="J98" s="14" t="s">
        <v>9</v>
      </c>
      <c r="K98" s="14" t="s">
        <v>18</v>
      </c>
      <c r="L98" s="15" t="s">
        <v>37</v>
      </c>
    </row>
    <row r="99" spans="1:12" ht="18.5" x14ac:dyDescent="0.45">
      <c r="A99" s="5" t="s">
        <v>141</v>
      </c>
      <c r="B99" s="11" t="s">
        <v>45</v>
      </c>
      <c r="C99" s="12">
        <v>44294</v>
      </c>
      <c r="D99" s="12">
        <f t="shared" ref="D99" si="94">C99+3</f>
        <v>44297</v>
      </c>
      <c r="E99" s="11">
        <f t="shared" si="61"/>
        <v>3</v>
      </c>
      <c r="F99" s="11" t="s">
        <v>5</v>
      </c>
      <c r="G99" s="11">
        <v>184</v>
      </c>
      <c r="H99" s="11" t="s">
        <v>7</v>
      </c>
      <c r="I99" s="13">
        <v>300</v>
      </c>
      <c r="J99" s="14" t="s">
        <v>9</v>
      </c>
      <c r="K99" s="14" t="s">
        <v>19</v>
      </c>
      <c r="L99" s="15" t="s">
        <v>40</v>
      </c>
    </row>
    <row r="100" spans="1:12" ht="18.5" x14ac:dyDescent="0.45">
      <c r="A100" s="5" t="s">
        <v>142</v>
      </c>
      <c r="B100" s="11" t="s">
        <v>47</v>
      </c>
      <c r="C100" s="12">
        <v>44295</v>
      </c>
      <c r="D100" s="12">
        <f t="shared" ref="D100" si="95">C100+4</f>
        <v>44299</v>
      </c>
      <c r="E100" s="11">
        <f t="shared" si="61"/>
        <v>4</v>
      </c>
      <c r="F100" s="11" t="s">
        <v>5</v>
      </c>
      <c r="G100" s="11">
        <v>185</v>
      </c>
      <c r="H100" s="11" t="s">
        <v>6</v>
      </c>
      <c r="I100" s="13">
        <v>190</v>
      </c>
      <c r="J100" s="14" t="s">
        <v>9</v>
      </c>
      <c r="K100" s="14" t="s">
        <v>13</v>
      </c>
      <c r="L100" s="15" t="s">
        <v>43</v>
      </c>
    </row>
    <row r="101" spans="1:12" ht="18.5" x14ac:dyDescent="0.45">
      <c r="A101" s="5" t="s">
        <v>143</v>
      </c>
      <c r="B101" s="11" t="s">
        <v>49</v>
      </c>
      <c r="C101" s="12">
        <v>44296</v>
      </c>
      <c r="D101" s="12">
        <f t="shared" ref="D101" si="96">C101+1</f>
        <v>44297</v>
      </c>
      <c r="E101" s="11">
        <f t="shared" si="61"/>
        <v>1</v>
      </c>
      <c r="F101" s="11" t="s">
        <v>5</v>
      </c>
      <c r="G101" s="11">
        <v>186</v>
      </c>
      <c r="H101" s="11" t="s">
        <v>8</v>
      </c>
      <c r="I101" s="13">
        <v>2100</v>
      </c>
      <c r="J101" s="14" t="s">
        <v>9</v>
      </c>
      <c r="K101" s="14" t="s">
        <v>12</v>
      </c>
      <c r="L101" s="15" t="s">
        <v>37</v>
      </c>
    </row>
    <row r="102" spans="1:12" ht="18.5" x14ac:dyDescent="0.45">
      <c r="A102" s="5" t="s">
        <v>144</v>
      </c>
      <c r="B102" s="11" t="s">
        <v>49</v>
      </c>
      <c r="C102" s="12">
        <v>44297</v>
      </c>
      <c r="D102" s="12">
        <f t="shared" ref="D102" si="97">C102+2</f>
        <v>44299</v>
      </c>
      <c r="E102" s="11">
        <f t="shared" si="61"/>
        <v>2</v>
      </c>
      <c r="F102" s="11" t="s">
        <v>2</v>
      </c>
      <c r="G102" s="11">
        <v>187</v>
      </c>
      <c r="H102" s="11" t="s">
        <v>6</v>
      </c>
      <c r="I102" s="13">
        <v>210</v>
      </c>
      <c r="J102" s="14" t="s">
        <v>9</v>
      </c>
      <c r="K102" s="14" t="s">
        <v>12</v>
      </c>
      <c r="L102" s="15" t="s">
        <v>40</v>
      </c>
    </row>
    <row r="103" spans="1:12" ht="18.5" x14ac:dyDescent="0.45">
      <c r="A103" s="5" t="s">
        <v>145</v>
      </c>
      <c r="B103" s="11" t="s">
        <v>49</v>
      </c>
      <c r="C103" s="12">
        <v>44298</v>
      </c>
      <c r="D103" s="12">
        <f t="shared" ref="D103" si="98">C103+7</f>
        <v>44305</v>
      </c>
      <c r="E103" s="11">
        <f t="shared" si="61"/>
        <v>7</v>
      </c>
      <c r="F103" s="11" t="s">
        <v>3</v>
      </c>
      <c r="G103" s="11">
        <v>188</v>
      </c>
      <c r="H103" s="11" t="s">
        <v>8</v>
      </c>
      <c r="I103" s="13">
        <v>2100</v>
      </c>
      <c r="J103" s="14" t="s">
        <v>9</v>
      </c>
      <c r="K103" s="14" t="s">
        <v>13</v>
      </c>
      <c r="L103" s="15" t="s">
        <v>43</v>
      </c>
    </row>
    <row r="104" spans="1:12" ht="18.5" x14ac:dyDescent="0.45">
      <c r="A104" s="5" t="s">
        <v>146</v>
      </c>
      <c r="B104" s="11" t="s">
        <v>49</v>
      </c>
      <c r="C104" s="12">
        <v>44299</v>
      </c>
      <c r="D104" s="12">
        <f t="shared" ref="D104" si="99">C104+3</f>
        <v>44302</v>
      </c>
      <c r="E104" s="11">
        <f t="shared" si="61"/>
        <v>3</v>
      </c>
      <c r="F104" s="11" t="s">
        <v>4</v>
      </c>
      <c r="G104" s="11">
        <v>189</v>
      </c>
      <c r="H104" s="11" t="s">
        <v>7</v>
      </c>
      <c r="I104" s="13">
        <v>1200</v>
      </c>
      <c r="J104" s="14" t="s">
        <v>9</v>
      </c>
      <c r="K104" s="14" t="s">
        <v>14</v>
      </c>
      <c r="L104" s="15" t="s">
        <v>37</v>
      </c>
    </row>
    <row r="105" spans="1:12" ht="18.5" x14ac:dyDescent="0.45">
      <c r="A105" s="5" t="s">
        <v>147</v>
      </c>
      <c r="B105" s="11" t="s">
        <v>49</v>
      </c>
      <c r="C105" s="12">
        <v>44300</v>
      </c>
      <c r="D105" s="12">
        <f t="shared" ref="D105" si="100">C105+4</f>
        <v>44304</v>
      </c>
      <c r="E105" s="11">
        <f t="shared" si="61"/>
        <v>4</v>
      </c>
      <c r="F105" s="11" t="s">
        <v>5</v>
      </c>
      <c r="G105" s="11">
        <v>190</v>
      </c>
      <c r="H105" s="11" t="s">
        <v>8</v>
      </c>
      <c r="I105" s="13">
        <v>2100</v>
      </c>
      <c r="J105" s="14" t="s">
        <v>9</v>
      </c>
      <c r="K105" s="14" t="s">
        <v>15</v>
      </c>
      <c r="L105" s="15" t="s">
        <v>40</v>
      </c>
    </row>
    <row r="106" spans="1:12" ht="18.5" x14ac:dyDescent="0.45">
      <c r="A106" s="5" t="s">
        <v>148</v>
      </c>
      <c r="B106" s="11" t="s">
        <v>49</v>
      </c>
      <c r="C106" s="12">
        <v>44301</v>
      </c>
      <c r="D106" s="12">
        <f t="shared" ref="D106" si="101">C106+1</f>
        <v>44302</v>
      </c>
      <c r="E106" s="11">
        <f t="shared" si="61"/>
        <v>1</v>
      </c>
      <c r="F106" s="11" t="s">
        <v>2</v>
      </c>
      <c r="G106" s="11">
        <v>191</v>
      </c>
      <c r="H106" s="11" t="s">
        <v>7</v>
      </c>
      <c r="I106" s="13">
        <v>1200</v>
      </c>
      <c r="J106" s="14" t="s">
        <v>9</v>
      </c>
      <c r="K106" s="14" t="s">
        <v>16</v>
      </c>
      <c r="L106" s="15" t="s">
        <v>43</v>
      </c>
    </row>
    <row r="107" spans="1:12" ht="18.5" x14ac:dyDescent="0.45">
      <c r="A107" s="5" t="s">
        <v>149</v>
      </c>
      <c r="B107" s="11" t="s">
        <v>49</v>
      </c>
      <c r="C107" s="12">
        <v>44302</v>
      </c>
      <c r="D107" s="12">
        <f t="shared" ref="D107" si="102">C107+2</f>
        <v>44304</v>
      </c>
      <c r="E107" s="11">
        <f t="shared" si="61"/>
        <v>2</v>
      </c>
      <c r="F107" s="11" t="s">
        <v>3</v>
      </c>
      <c r="G107" s="11">
        <v>192</v>
      </c>
      <c r="H107" s="11" t="s">
        <v>6</v>
      </c>
      <c r="I107" s="13">
        <v>190</v>
      </c>
      <c r="J107" s="14" t="s">
        <v>9</v>
      </c>
      <c r="K107" s="14" t="s">
        <v>17</v>
      </c>
      <c r="L107" s="15" t="s">
        <v>37</v>
      </c>
    </row>
    <row r="108" spans="1:12" ht="18.5" x14ac:dyDescent="0.45">
      <c r="A108" s="5" t="s">
        <v>150</v>
      </c>
      <c r="B108" s="11" t="s">
        <v>49</v>
      </c>
      <c r="C108" s="12">
        <v>44303</v>
      </c>
      <c r="D108" s="12">
        <f t="shared" ref="D108" si="103">C108+7</f>
        <v>44310</v>
      </c>
      <c r="E108" s="11">
        <f t="shared" si="61"/>
        <v>7</v>
      </c>
      <c r="F108" s="11" t="s">
        <v>4</v>
      </c>
      <c r="G108" s="11">
        <v>193</v>
      </c>
      <c r="H108" s="11" t="s">
        <v>8</v>
      </c>
      <c r="I108" s="13">
        <v>2100</v>
      </c>
      <c r="J108" s="14" t="s">
        <v>9</v>
      </c>
      <c r="K108" s="14" t="s">
        <v>18</v>
      </c>
      <c r="L108" s="15" t="s">
        <v>40</v>
      </c>
    </row>
    <row r="109" spans="1:12" ht="18.5" x14ac:dyDescent="0.45">
      <c r="A109" s="5" t="s">
        <v>151</v>
      </c>
      <c r="B109" s="11" t="s">
        <v>49</v>
      </c>
      <c r="C109" s="12">
        <v>44304</v>
      </c>
      <c r="D109" s="12">
        <f t="shared" ref="D109" si="104">C109+3</f>
        <v>44307</v>
      </c>
      <c r="E109" s="11">
        <f t="shared" si="61"/>
        <v>3</v>
      </c>
      <c r="F109" s="11" t="s">
        <v>5</v>
      </c>
      <c r="G109" s="11">
        <v>194</v>
      </c>
      <c r="H109" s="11" t="s">
        <v>7</v>
      </c>
      <c r="I109" s="13">
        <v>1200</v>
      </c>
      <c r="J109" s="14" t="s">
        <v>9</v>
      </c>
      <c r="K109" s="14" t="s">
        <v>19</v>
      </c>
      <c r="L109" s="15" t="s">
        <v>43</v>
      </c>
    </row>
    <row r="110" spans="1:12" ht="18.5" x14ac:dyDescent="0.45">
      <c r="A110" s="5" t="s">
        <v>152</v>
      </c>
      <c r="B110" s="11" t="s">
        <v>36</v>
      </c>
      <c r="C110" s="12">
        <v>44305</v>
      </c>
      <c r="D110" s="12">
        <f t="shared" ref="D110" si="105">C110+4</f>
        <v>44309</v>
      </c>
      <c r="E110" s="11">
        <f t="shared" si="61"/>
        <v>4</v>
      </c>
      <c r="F110" s="11" t="s">
        <v>2</v>
      </c>
      <c r="G110" s="11">
        <v>195</v>
      </c>
      <c r="H110" s="11" t="s">
        <v>8</v>
      </c>
      <c r="I110" s="13">
        <v>2100</v>
      </c>
      <c r="J110" s="14" t="s">
        <v>9</v>
      </c>
      <c r="K110" s="14" t="s">
        <v>13</v>
      </c>
      <c r="L110" s="15" t="s">
        <v>37</v>
      </c>
    </row>
    <row r="111" spans="1:12" ht="18.5" x14ac:dyDescent="0.45">
      <c r="A111" s="5" t="s">
        <v>153</v>
      </c>
      <c r="B111" s="11" t="s">
        <v>39</v>
      </c>
      <c r="C111" s="12">
        <v>44306</v>
      </c>
      <c r="D111" s="12">
        <f t="shared" ref="D111" si="106">C111+1</f>
        <v>44307</v>
      </c>
      <c r="E111" s="11">
        <f t="shared" si="61"/>
        <v>1</v>
      </c>
      <c r="F111" s="11" t="s">
        <v>3</v>
      </c>
      <c r="G111" s="11">
        <v>196</v>
      </c>
      <c r="H111" s="11" t="s">
        <v>7</v>
      </c>
      <c r="I111" s="13">
        <v>1200</v>
      </c>
      <c r="J111" s="14" t="s">
        <v>9</v>
      </c>
      <c r="K111" s="14" t="s">
        <v>12</v>
      </c>
      <c r="L111" s="15" t="s">
        <v>40</v>
      </c>
    </row>
    <row r="112" spans="1:12" ht="18.5" x14ac:dyDescent="0.45">
      <c r="A112" s="5" t="s">
        <v>154</v>
      </c>
      <c r="B112" s="11" t="s">
        <v>42</v>
      </c>
      <c r="C112" s="12">
        <v>44307</v>
      </c>
      <c r="D112" s="12">
        <f t="shared" ref="D112" si="107">C112+2</f>
        <v>44309</v>
      </c>
      <c r="E112" s="11">
        <f t="shared" si="61"/>
        <v>2</v>
      </c>
      <c r="F112" s="11" t="s">
        <v>2</v>
      </c>
      <c r="G112" s="11">
        <v>197</v>
      </c>
      <c r="H112" s="11" t="s">
        <v>8</v>
      </c>
      <c r="I112" s="13">
        <v>2100</v>
      </c>
      <c r="J112" s="14" t="s">
        <v>9</v>
      </c>
      <c r="K112" s="14" t="s">
        <v>12</v>
      </c>
      <c r="L112" s="15" t="s">
        <v>43</v>
      </c>
    </row>
    <row r="113" spans="1:12" ht="18.5" x14ac:dyDescent="0.45">
      <c r="A113" s="5" t="s">
        <v>155</v>
      </c>
      <c r="B113" s="11" t="s">
        <v>45</v>
      </c>
      <c r="C113" s="12">
        <v>44308</v>
      </c>
      <c r="D113" s="12">
        <f t="shared" ref="D113" si="108">C113+7</f>
        <v>44315</v>
      </c>
      <c r="E113" s="11">
        <f t="shared" si="61"/>
        <v>7</v>
      </c>
      <c r="F113" s="11" t="s">
        <v>3</v>
      </c>
      <c r="G113" s="11">
        <v>198</v>
      </c>
      <c r="H113" s="11" t="s">
        <v>7</v>
      </c>
      <c r="I113" s="13">
        <v>1200</v>
      </c>
      <c r="J113" s="14" t="s">
        <v>9</v>
      </c>
      <c r="K113" s="14" t="s">
        <v>13</v>
      </c>
      <c r="L113" s="15" t="s">
        <v>37</v>
      </c>
    </row>
    <row r="114" spans="1:12" ht="18.5" x14ac:dyDescent="0.45">
      <c r="A114" s="5" t="s">
        <v>156</v>
      </c>
      <c r="B114" s="11" t="s">
        <v>47</v>
      </c>
      <c r="C114" s="12">
        <v>44309</v>
      </c>
      <c r="D114" s="12">
        <f t="shared" ref="D114" si="109">C114+3</f>
        <v>44312</v>
      </c>
      <c r="E114" s="11">
        <f t="shared" si="61"/>
        <v>3</v>
      </c>
      <c r="F114" s="11" t="s">
        <v>2</v>
      </c>
      <c r="G114" s="11">
        <v>199</v>
      </c>
      <c r="H114" s="11" t="s">
        <v>6</v>
      </c>
      <c r="I114" s="13">
        <v>210</v>
      </c>
      <c r="J114" s="14" t="s">
        <v>9</v>
      </c>
      <c r="K114" s="14" t="s">
        <v>14</v>
      </c>
      <c r="L114" s="15" t="s">
        <v>40</v>
      </c>
    </row>
    <row r="115" spans="1:12" ht="18.5" x14ac:dyDescent="0.45">
      <c r="A115" s="5" t="s">
        <v>157</v>
      </c>
      <c r="B115" s="11" t="s">
        <v>49</v>
      </c>
      <c r="C115" s="12">
        <v>44310</v>
      </c>
      <c r="D115" s="12">
        <f t="shared" ref="D115" si="110">C115+4</f>
        <v>44314</v>
      </c>
      <c r="E115" s="11">
        <f t="shared" si="61"/>
        <v>4</v>
      </c>
      <c r="F115" s="11" t="s">
        <v>2</v>
      </c>
      <c r="G115" s="11">
        <v>200</v>
      </c>
      <c r="H115" s="11" t="s">
        <v>8</v>
      </c>
      <c r="I115" s="13">
        <v>2100</v>
      </c>
      <c r="J115" s="14" t="s">
        <v>9</v>
      </c>
      <c r="K115" s="14" t="s">
        <v>15</v>
      </c>
      <c r="L115" s="15" t="s">
        <v>43</v>
      </c>
    </row>
    <row r="116" spans="1:12" ht="18.5" x14ac:dyDescent="0.45">
      <c r="A116" s="5" t="s">
        <v>158</v>
      </c>
      <c r="B116" s="11" t="s">
        <v>36</v>
      </c>
      <c r="C116" s="12">
        <v>44311</v>
      </c>
      <c r="D116" s="12">
        <f t="shared" ref="D116" si="111">C116+1</f>
        <v>44312</v>
      </c>
      <c r="E116" s="11">
        <f t="shared" si="61"/>
        <v>1</v>
      </c>
      <c r="F116" s="11" t="s">
        <v>2</v>
      </c>
      <c r="G116" s="11">
        <v>201</v>
      </c>
      <c r="H116" s="11" t="s">
        <v>7</v>
      </c>
      <c r="I116" s="13">
        <v>1200</v>
      </c>
      <c r="J116" s="14" t="s">
        <v>9</v>
      </c>
      <c r="K116" s="14" t="s">
        <v>16</v>
      </c>
      <c r="L116" s="15" t="s">
        <v>37</v>
      </c>
    </row>
    <row r="117" spans="1:12" ht="18.5" x14ac:dyDescent="0.45">
      <c r="A117" s="5" t="s">
        <v>159</v>
      </c>
      <c r="B117" s="11" t="s">
        <v>39</v>
      </c>
      <c r="C117" s="12">
        <v>44312</v>
      </c>
      <c r="D117" s="12">
        <f t="shared" ref="D117" si="112">C117+2</f>
        <v>44314</v>
      </c>
      <c r="E117" s="11">
        <f t="shared" si="61"/>
        <v>2</v>
      </c>
      <c r="F117" s="11" t="s">
        <v>3</v>
      </c>
      <c r="G117" s="11">
        <v>202</v>
      </c>
      <c r="H117" s="11" t="s">
        <v>8</v>
      </c>
      <c r="I117" s="13">
        <v>1500</v>
      </c>
      <c r="J117" s="14" t="s">
        <v>9</v>
      </c>
      <c r="K117" s="14" t="s">
        <v>17</v>
      </c>
      <c r="L117" s="15" t="s">
        <v>40</v>
      </c>
    </row>
    <row r="118" spans="1:12" ht="18.5" x14ac:dyDescent="0.45">
      <c r="A118" s="5" t="s">
        <v>160</v>
      </c>
      <c r="B118" s="11" t="s">
        <v>42</v>
      </c>
      <c r="C118" s="12">
        <v>44313</v>
      </c>
      <c r="D118" s="12">
        <f t="shared" ref="D118" si="113">C118+7</f>
        <v>44320</v>
      </c>
      <c r="E118" s="11">
        <f t="shared" si="61"/>
        <v>7</v>
      </c>
      <c r="F118" s="11" t="s">
        <v>3</v>
      </c>
      <c r="G118" s="11">
        <v>203</v>
      </c>
      <c r="H118" s="11" t="s">
        <v>7</v>
      </c>
      <c r="I118" s="13">
        <v>300</v>
      </c>
      <c r="J118" s="14" t="s">
        <v>9</v>
      </c>
      <c r="K118" s="14" t="s">
        <v>18</v>
      </c>
      <c r="L118" s="15" t="s">
        <v>43</v>
      </c>
    </row>
    <row r="119" spans="1:12" ht="18.5" x14ac:dyDescent="0.45">
      <c r="A119" s="5" t="s">
        <v>161</v>
      </c>
      <c r="B119" s="11" t="s">
        <v>45</v>
      </c>
      <c r="C119" s="12">
        <v>44314</v>
      </c>
      <c r="D119" s="12">
        <f t="shared" ref="D119" si="114">C119+3</f>
        <v>44317</v>
      </c>
      <c r="E119" s="11">
        <f t="shared" si="61"/>
        <v>3</v>
      </c>
      <c r="F119" s="11" t="s">
        <v>2</v>
      </c>
      <c r="G119" s="11">
        <v>204</v>
      </c>
      <c r="H119" s="11" t="s">
        <v>6</v>
      </c>
      <c r="I119" s="13">
        <v>190</v>
      </c>
      <c r="J119" s="14" t="s">
        <v>9</v>
      </c>
      <c r="K119" s="14" t="s">
        <v>19</v>
      </c>
      <c r="L119" s="15" t="s">
        <v>37</v>
      </c>
    </row>
    <row r="120" spans="1:12" ht="18.5" x14ac:dyDescent="0.45">
      <c r="A120" s="5" t="s">
        <v>162</v>
      </c>
      <c r="B120" s="11" t="s">
        <v>47</v>
      </c>
      <c r="C120" s="12">
        <v>44315</v>
      </c>
      <c r="D120" s="12">
        <f t="shared" ref="D120" si="115">C120+4</f>
        <v>44319</v>
      </c>
      <c r="E120" s="11">
        <f t="shared" si="61"/>
        <v>4</v>
      </c>
      <c r="F120" s="11" t="s">
        <v>2</v>
      </c>
      <c r="G120" s="11">
        <v>205</v>
      </c>
      <c r="H120" s="11" t="s">
        <v>6</v>
      </c>
      <c r="I120" s="13">
        <v>210</v>
      </c>
      <c r="J120" s="14" t="s">
        <v>9</v>
      </c>
      <c r="K120" s="14" t="s">
        <v>13</v>
      </c>
      <c r="L120" s="15" t="s">
        <v>40</v>
      </c>
    </row>
    <row r="121" spans="1:12" ht="18.5" x14ac:dyDescent="0.45">
      <c r="A121" s="5" t="s">
        <v>163</v>
      </c>
      <c r="B121" s="11" t="s">
        <v>49</v>
      </c>
      <c r="C121" s="12">
        <v>44316</v>
      </c>
      <c r="D121" s="12">
        <f t="shared" ref="D121" si="116">C121+1</f>
        <v>44317</v>
      </c>
      <c r="E121" s="11">
        <f t="shared" si="61"/>
        <v>1</v>
      </c>
      <c r="F121" s="11" t="s">
        <v>3</v>
      </c>
      <c r="G121" s="11">
        <v>206</v>
      </c>
      <c r="H121" s="11" t="s">
        <v>7</v>
      </c>
      <c r="I121" s="13">
        <v>2100</v>
      </c>
      <c r="J121" s="14" t="s">
        <v>9</v>
      </c>
      <c r="K121" s="14" t="s">
        <v>12</v>
      </c>
      <c r="L121" s="15" t="s">
        <v>43</v>
      </c>
    </row>
    <row r="122" spans="1:12" ht="18.5" x14ac:dyDescent="0.45">
      <c r="A122" s="5" t="s">
        <v>164</v>
      </c>
      <c r="B122" s="11" t="s">
        <v>49</v>
      </c>
      <c r="C122" s="12">
        <v>44317</v>
      </c>
      <c r="D122" s="12">
        <f t="shared" ref="D122" si="117">C122+2</f>
        <v>44319</v>
      </c>
      <c r="E122" s="11">
        <f t="shared" si="61"/>
        <v>2</v>
      </c>
      <c r="F122" s="11" t="s">
        <v>2</v>
      </c>
      <c r="G122" s="11">
        <v>207</v>
      </c>
      <c r="H122" s="11" t="s">
        <v>8</v>
      </c>
      <c r="I122" s="13">
        <v>1200</v>
      </c>
      <c r="J122" s="14" t="s">
        <v>9</v>
      </c>
      <c r="K122" s="14" t="s">
        <v>12</v>
      </c>
      <c r="L122" s="15" t="s">
        <v>37</v>
      </c>
    </row>
    <row r="123" spans="1:12" ht="18.5" x14ac:dyDescent="0.45">
      <c r="A123" s="5" t="s">
        <v>165</v>
      </c>
      <c r="B123" s="11" t="s">
        <v>36</v>
      </c>
      <c r="C123" s="12">
        <v>44318</v>
      </c>
      <c r="D123" s="12">
        <f t="shared" ref="D123" si="118">C123+7</f>
        <v>44325</v>
      </c>
      <c r="E123" s="11">
        <f t="shared" si="61"/>
        <v>7</v>
      </c>
      <c r="F123" s="11" t="s">
        <v>2</v>
      </c>
      <c r="G123" s="11">
        <v>208</v>
      </c>
      <c r="H123" s="11" t="s">
        <v>7</v>
      </c>
      <c r="I123" s="13">
        <v>300</v>
      </c>
      <c r="J123" s="14" t="s">
        <v>9</v>
      </c>
      <c r="K123" s="14" t="s">
        <v>13</v>
      </c>
      <c r="L123" s="15" t="s">
        <v>40</v>
      </c>
    </row>
    <row r="124" spans="1:12" ht="18.5" x14ac:dyDescent="0.45">
      <c r="A124" s="5" t="s">
        <v>166</v>
      </c>
      <c r="B124" s="11" t="s">
        <v>39</v>
      </c>
      <c r="C124" s="12">
        <v>44319</v>
      </c>
      <c r="D124" s="12">
        <f t="shared" ref="D124" si="119">C124+3</f>
        <v>44322</v>
      </c>
      <c r="E124" s="11">
        <f t="shared" si="61"/>
        <v>3</v>
      </c>
      <c r="F124" s="11" t="s">
        <v>2</v>
      </c>
      <c r="G124" s="11">
        <v>209</v>
      </c>
      <c r="H124" s="11" t="s">
        <v>6</v>
      </c>
      <c r="I124" s="13">
        <v>200</v>
      </c>
      <c r="J124" s="14" t="s">
        <v>9</v>
      </c>
      <c r="K124" s="14" t="s">
        <v>14</v>
      </c>
      <c r="L124" s="15" t="s">
        <v>43</v>
      </c>
    </row>
    <row r="125" spans="1:12" ht="18.5" x14ac:dyDescent="0.45">
      <c r="A125" s="5" t="s">
        <v>167</v>
      </c>
      <c r="B125" s="11" t="s">
        <v>42</v>
      </c>
      <c r="C125" s="12">
        <v>44320</v>
      </c>
      <c r="D125" s="12">
        <f t="shared" ref="D125" si="120">C125+4</f>
        <v>44324</v>
      </c>
      <c r="E125" s="11">
        <f t="shared" si="61"/>
        <v>4</v>
      </c>
      <c r="F125" s="11" t="s">
        <v>2</v>
      </c>
      <c r="G125" s="11">
        <v>210</v>
      </c>
      <c r="H125" s="11" t="s">
        <v>6</v>
      </c>
      <c r="I125" s="13">
        <v>190</v>
      </c>
      <c r="J125" s="14" t="s">
        <v>9</v>
      </c>
      <c r="K125" s="14" t="s">
        <v>15</v>
      </c>
      <c r="L125" s="15" t="s">
        <v>37</v>
      </c>
    </row>
    <row r="126" spans="1:12" ht="18.5" x14ac:dyDescent="0.45">
      <c r="A126" s="5" t="s">
        <v>168</v>
      </c>
      <c r="B126" s="11" t="s">
        <v>45</v>
      </c>
      <c r="C126" s="12">
        <v>44321</v>
      </c>
      <c r="D126" s="12">
        <f t="shared" ref="D126" si="121">C126+1</f>
        <v>44322</v>
      </c>
      <c r="E126" s="11">
        <f t="shared" si="61"/>
        <v>1</v>
      </c>
      <c r="F126" s="11" t="s">
        <v>2</v>
      </c>
      <c r="G126" s="11">
        <v>211</v>
      </c>
      <c r="H126" s="11" t="s">
        <v>8</v>
      </c>
      <c r="I126" s="13">
        <v>2100</v>
      </c>
      <c r="J126" s="14" t="s">
        <v>9</v>
      </c>
      <c r="K126" s="14" t="s">
        <v>16</v>
      </c>
      <c r="L126" s="15" t="s">
        <v>40</v>
      </c>
    </row>
    <row r="127" spans="1:12" ht="18.5" x14ac:dyDescent="0.45">
      <c r="A127" s="5" t="s">
        <v>169</v>
      </c>
      <c r="B127" s="11" t="s">
        <v>47</v>
      </c>
      <c r="C127" s="12">
        <v>44322</v>
      </c>
      <c r="D127" s="12">
        <f t="shared" ref="D127" si="122">C127+2</f>
        <v>44324</v>
      </c>
      <c r="E127" s="11">
        <f t="shared" si="61"/>
        <v>2</v>
      </c>
      <c r="F127" s="11" t="s">
        <v>2</v>
      </c>
      <c r="G127" s="11">
        <v>212</v>
      </c>
      <c r="H127" s="11" t="s">
        <v>6</v>
      </c>
      <c r="I127" s="13">
        <v>210</v>
      </c>
      <c r="J127" s="14" t="s">
        <v>9</v>
      </c>
      <c r="K127" s="14" t="s">
        <v>17</v>
      </c>
      <c r="L127" s="15" t="s">
        <v>43</v>
      </c>
    </row>
    <row r="128" spans="1:12" ht="18.5" x14ac:dyDescent="0.45">
      <c r="A128" s="5" t="s">
        <v>170</v>
      </c>
      <c r="B128" s="11" t="s">
        <v>49</v>
      </c>
      <c r="C128" s="12">
        <v>44323</v>
      </c>
      <c r="D128" s="12">
        <f t="shared" ref="D128" si="123">C128+7</f>
        <v>44330</v>
      </c>
      <c r="E128" s="11">
        <f t="shared" si="61"/>
        <v>7</v>
      </c>
      <c r="F128" s="11" t="s">
        <v>2</v>
      </c>
      <c r="G128" s="11">
        <v>213</v>
      </c>
      <c r="H128" s="11" t="s">
        <v>8</v>
      </c>
      <c r="I128" s="13">
        <v>2100</v>
      </c>
      <c r="J128" s="14" t="s">
        <v>9</v>
      </c>
      <c r="K128" s="14" t="s">
        <v>18</v>
      </c>
      <c r="L128" s="15" t="s">
        <v>37</v>
      </c>
    </row>
    <row r="129" spans="1:12" ht="18.5" x14ac:dyDescent="0.45">
      <c r="A129" s="5" t="s">
        <v>171</v>
      </c>
      <c r="B129" s="11" t="s">
        <v>36</v>
      </c>
      <c r="C129" s="12">
        <v>44324</v>
      </c>
      <c r="D129" s="12">
        <f t="shared" ref="D129" si="124">C129+3</f>
        <v>44327</v>
      </c>
      <c r="E129" s="11">
        <f t="shared" si="61"/>
        <v>3</v>
      </c>
      <c r="F129" s="11" t="s">
        <v>2</v>
      </c>
      <c r="G129" s="11">
        <v>214</v>
      </c>
      <c r="H129" s="11" t="s">
        <v>7</v>
      </c>
      <c r="I129" s="13">
        <v>1200</v>
      </c>
      <c r="J129" s="14" t="s">
        <v>9</v>
      </c>
      <c r="K129" s="14" t="s">
        <v>19</v>
      </c>
      <c r="L129" s="15" t="s">
        <v>40</v>
      </c>
    </row>
    <row r="130" spans="1:12" ht="18.5" x14ac:dyDescent="0.45">
      <c r="A130" s="5" t="s">
        <v>172</v>
      </c>
      <c r="B130" s="11" t="s">
        <v>39</v>
      </c>
      <c r="C130" s="12">
        <v>44325</v>
      </c>
      <c r="D130" s="12">
        <f t="shared" ref="D130" si="125">C130+4</f>
        <v>44329</v>
      </c>
      <c r="E130" s="11">
        <f t="shared" ref="E130:E193" si="126">D130-C130</f>
        <v>4</v>
      </c>
      <c r="F130" s="11" t="s">
        <v>3</v>
      </c>
      <c r="G130" s="11">
        <v>215</v>
      </c>
      <c r="H130" s="11" t="s">
        <v>8</v>
      </c>
      <c r="I130" s="13">
        <v>1500</v>
      </c>
      <c r="J130" s="14" t="s">
        <v>9</v>
      </c>
      <c r="K130" s="14" t="s">
        <v>13</v>
      </c>
      <c r="L130" s="15" t="s">
        <v>43</v>
      </c>
    </row>
    <row r="131" spans="1:12" ht="18.5" x14ac:dyDescent="0.45">
      <c r="A131" s="5" t="s">
        <v>173</v>
      </c>
      <c r="B131" s="11" t="s">
        <v>42</v>
      </c>
      <c r="C131" s="12">
        <v>44326</v>
      </c>
      <c r="D131" s="12">
        <f t="shared" ref="D131" si="127">C131+1</f>
        <v>44327</v>
      </c>
      <c r="E131" s="11">
        <f t="shared" si="126"/>
        <v>1</v>
      </c>
      <c r="F131" s="11" t="s">
        <v>2</v>
      </c>
      <c r="G131" s="11">
        <v>216</v>
      </c>
      <c r="H131" s="11" t="s">
        <v>7</v>
      </c>
      <c r="I131" s="13">
        <v>300</v>
      </c>
      <c r="J131" s="14" t="s">
        <v>9</v>
      </c>
      <c r="K131" s="14" t="s">
        <v>12</v>
      </c>
      <c r="L131" s="15" t="s">
        <v>37</v>
      </c>
    </row>
    <row r="132" spans="1:12" ht="18.5" x14ac:dyDescent="0.45">
      <c r="A132" s="5" t="s">
        <v>174</v>
      </c>
      <c r="B132" s="11" t="s">
        <v>45</v>
      </c>
      <c r="C132" s="12">
        <v>44327</v>
      </c>
      <c r="D132" s="12">
        <f t="shared" ref="D132" si="128">C132+2</f>
        <v>44329</v>
      </c>
      <c r="E132" s="11">
        <f t="shared" si="126"/>
        <v>2</v>
      </c>
      <c r="F132" s="11" t="s">
        <v>3</v>
      </c>
      <c r="G132" s="11">
        <v>217</v>
      </c>
      <c r="H132" s="11" t="s">
        <v>6</v>
      </c>
      <c r="I132" s="13">
        <v>190</v>
      </c>
      <c r="J132" s="14" t="s">
        <v>9</v>
      </c>
      <c r="K132" s="14" t="s">
        <v>12</v>
      </c>
      <c r="L132" s="15" t="s">
        <v>40</v>
      </c>
    </row>
    <row r="133" spans="1:12" ht="18.5" x14ac:dyDescent="0.45">
      <c r="A133" s="5" t="s">
        <v>175</v>
      </c>
      <c r="B133" s="11" t="s">
        <v>47</v>
      </c>
      <c r="C133" s="12">
        <v>44328</v>
      </c>
      <c r="D133" s="12">
        <f t="shared" ref="D133" si="129">C133+7</f>
        <v>44335</v>
      </c>
      <c r="E133" s="11">
        <f t="shared" si="126"/>
        <v>7</v>
      </c>
      <c r="F133" s="11" t="s">
        <v>2</v>
      </c>
      <c r="G133" s="11">
        <v>218</v>
      </c>
      <c r="H133" s="11" t="s">
        <v>6</v>
      </c>
      <c r="I133" s="13">
        <v>210</v>
      </c>
      <c r="J133" s="14" t="s">
        <v>9</v>
      </c>
      <c r="K133" s="14" t="s">
        <v>13</v>
      </c>
      <c r="L133" s="15" t="s">
        <v>43</v>
      </c>
    </row>
    <row r="134" spans="1:12" ht="18.5" x14ac:dyDescent="0.45">
      <c r="A134" s="5" t="s">
        <v>176</v>
      </c>
      <c r="B134" s="11" t="s">
        <v>49</v>
      </c>
      <c r="C134" s="12">
        <v>44329</v>
      </c>
      <c r="D134" s="12">
        <f t="shared" ref="D134" si="130">C134+3</f>
        <v>44332</v>
      </c>
      <c r="E134" s="11">
        <f t="shared" si="126"/>
        <v>3</v>
      </c>
      <c r="F134" s="11" t="s">
        <v>2</v>
      </c>
      <c r="G134" s="11">
        <v>219</v>
      </c>
      <c r="H134" s="11" t="s">
        <v>8</v>
      </c>
      <c r="I134" s="13">
        <v>2100</v>
      </c>
      <c r="J134" s="14" t="s">
        <v>9</v>
      </c>
      <c r="K134" s="14" t="s">
        <v>14</v>
      </c>
      <c r="L134" s="15" t="s">
        <v>37</v>
      </c>
    </row>
    <row r="135" spans="1:12" ht="18.5" x14ac:dyDescent="0.45">
      <c r="A135" s="5" t="s">
        <v>177</v>
      </c>
      <c r="B135" s="11" t="s">
        <v>49</v>
      </c>
      <c r="C135" s="12">
        <v>44330</v>
      </c>
      <c r="D135" s="12">
        <f t="shared" ref="D135" si="131">C135+4</f>
        <v>44334</v>
      </c>
      <c r="E135" s="11">
        <f t="shared" si="126"/>
        <v>4</v>
      </c>
      <c r="F135" s="11" t="s">
        <v>2</v>
      </c>
      <c r="G135" s="11">
        <v>220</v>
      </c>
      <c r="H135" s="11" t="s">
        <v>7</v>
      </c>
      <c r="I135" s="13">
        <v>1200</v>
      </c>
      <c r="J135" s="14" t="s">
        <v>9</v>
      </c>
      <c r="K135" s="14" t="s">
        <v>15</v>
      </c>
      <c r="L135" s="15" t="s">
        <v>40</v>
      </c>
    </row>
    <row r="136" spans="1:12" ht="18.5" x14ac:dyDescent="0.45">
      <c r="A136" s="5" t="s">
        <v>178</v>
      </c>
      <c r="B136" s="11" t="s">
        <v>36</v>
      </c>
      <c r="C136" s="12">
        <v>44331</v>
      </c>
      <c r="D136" s="12">
        <f t="shared" ref="D136" si="132">C136+1</f>
        <v>44332</v>
      </c>
      <c r="E136" s="11">
        <f t="shared" si="126"/>
        <v>1</v>
      </c>
      <c r="F136" s="11" t="s">
        <v>2</v>
      </c>
      <c r="G136" s="11">
        <v>221</v>
      </c>
      <c r="H136" s="11" t="s">
        <v>8</v>
      </c>
      <c r="I136" s="13">
        <v>1500</v>
      </c>
      <c r="J136" s="14" t="s">
        <v>9</v>
      </c>
      <c r="K136" s="14" t="s">
        <v>16</v>
      </c>
      <c r="L136" s="15" t="s">
        <v>43</v>
      </c>
    </row>
    <row r="137" spans="1:12" ht="18.5" x14ac:dyDescent="0.45">
      <c r="A137" s="5" t="s">
        <v>179</v>
      </c>
      <c r="B137" s="11" t="s">
        <v>36</v>
      </c>
      <c r="C137" s="12">
        <v>44332</v>
      </c>
      <c r="D137" s="12">
        <f t="shared" ref="D137" si="133">C137+2</f>
        <v>44334</v>
      </c>
      <c r="E137" s="11">
        <f t="shared" si="126"/>
        <v>2</v>
      </c>
      <c r="F137" s="11" t="s">
        <v>3</v>
      </c>
      <c r="G137" s="11">
        <v>222</v>
      </c>
      <c r="H137" s="11" t="s">
        <v>7</v>
      </c>
      <c r="I137" s="13">
        <v>300</v>
      </c>
      <c r="J137" s="14" t="s">
        <v>9</v>
      </c>
      <c r="K137" s="14" t="s">
        <v>17</v>
      </c>
      <c r="L137" s="15" t="s">
        <v>37</v>
      </c>
    </row>
    <row r="138" spans="1:12" ht="18.5" x14ac:dyDescent="0.45">
      <c r="A138" s="5" t="s">
        <v>180</v>
      </c>
      <c r="B138" s="11" t="s">
        <v>36</v>
      </c>
      <c r="C138" s="12">
        <v>44333</v>
      </c>
      <c r="D138" s="12">
        <f t="shared" ref="D138" si="134">C138+7</f>
        <v>44340</v>
      </c>
      <c r="E138" s="11">
        <f t="shared" si="126"/>
        <v>7</v>
      </c>
      <c r="F138" s="11" t="s">
        <v>4</v>
      </c>
      <c r="G138" s="11">
        <v>223</v>
      </c>
      <c r="H138" s="11" t="s">
        <v>6</v>
      </c>
      <c r="I138" s="13">
        <v>190</v>
      </c>
      <c r="J138" s="14" t="s">
        <v>9</v>
      </c>
      <c r="K138" s="14" t="s">
        <v>18</v>
      </c>
      <c r="L138" s="15" t="s">
        <v>40</v>
      </c>
    </row>
    <row r="139" spans="1:12" ht="18.5" x14ac:dyDescent="0.45">
      <c r="A139" s="5" t="s">
        <v>181</v>
      </c>
      <c r="B139" s="11" t="s">
        <v>36</v>
      </c>
      <c r="C139" s="12">
        <v>44334</v>
      </c>
      <c r="D139" s="12">
        <f t="shared" ref="D139" si="135">C139+3</f>
        <v>44337</v>
      </c>
      <c r="E139" s="11">
        <f t="shared" si="126"/>
        <v>3</v>
      </c>
      <c r="F139" s="11" t="s">
        <v>5</v>
      </c>
      <c r="G139" s="11">
        <v>224</v>
      </c>
      <c r="H139" s="11" t="s">
        <v>6</v>
      </c>
      <c r="I139" s="13">
        <v>210</v>
      </c>
      <c r="J139" s="14" t="s">
        <v>9</v>
      </c>
      <c r="K139" s="14" t="s">
        <v>19</v>
      </c>
      <c r="L139" s="15" t="s">
        <v>43</v>
      </c>
    </row>
    <row r="140" spans="1:12" ht="18.5" x14ac:dyDescent="0.45">
      <c r="A140" s="5" t="s">
        <v>182</v>
      </c>
      <c r="B140" s="11" t="s">
        <v>36</v>
      </c>
      <c r="C140" s="12">
        <v>44335</v>
      </c>
      <c r="D140" s="12">
        <f t="shared" ref="D140" si="136">C140+4</f>
        <v>44339</v>
      </c>
      <c r="E140" s="11">
        <f t="shared" si="126"/>
        <v>4</v>
      </c>
      <c r="F140" s="11" t="s">
        <v>2</v>
      </c>
      <c r="G140" s="11">
        <v>225</v>
      </c>
      <c r="H140" s="11" t="s">
        <v>8</v>
      </c>
      <c r="I140" s="13">
        <v>2100</v>
      </c>
      <c r="J140" s="14" t="s">
        <v>9</v>
      </c>
      <c r="K140" s="14" t="s">
        <v>13</v>
      </c>
      <c r="L140" s="15" t="s">
        <v>37</v>
      </c>
    </row>
    <row r="141" spans="1:12" ht="18.5" x14ac:dyDescent="0.45">
      <c r="A141" s="5" t="s">
        <v>183</v>
      </c>
      <c r="B141" s="11" t="s">
        <v>36</v>
      </c>
      <c r="C141" s="12">
        <v>44336</v>
      </c>
      <c r="D141" s="12">
        <f t="shared" ref="D141" si="137">C141+1</f>
        <v>44337</v>
      </c>
      <c r="E141" s="11">
        <f t="shared" si="126"/>
        <v>1</v>
      </c>
      <c r="F141" s="11" t="s">
        <v>3</v>
      </c>
      <c r="G141" s="11">
        <v>226</v>
      </c>
      <c r="H141" s="11" t="s">
        <v>7</v>
      </c>
      <c r="I141" s="13">
        <v>1200</v>
      </c>
      <c r="J141" s="14" t="s">
        <v>9</v>
      </c>
      <c r="K141" s="14" t="s">
        <v>12</v>
      </c>
      <c r="L141" s="15" t="s">
        <v>40</v>
      </c>
    </row>
    <row r="142" spans="1:12" ht="18.5" x14ac:dyDescent="0.45">
      <c r="A142" s="5" t="s">
        <v>184</v>
      </c>
      <c r="B142" s="11" t="s">
        <v>36</v>
      </c>
      <c r="C142" s="12">
        <v>44337</v>
      </c>
      <c r="D142" s="12">
        <f t="shared" ref="D142" si="138">C142+2</f>
        <v>44339</v>
      </c>
      <c r="E142" s="11">
        <f t="shared" si="126"/>
        <v>2</v>
      </c>
      <c r="F142" s="11" t="s">
        <v>4</v>
      </c>
      <c r="G142" s="11">
        <v>227</v>
      </c>
      <c r="H142" s="11" t="s">
        <v>8</v>
      </c>
      <c r="I142" s="13">
        <v>1500</v>
      </c>
      <c r="J142" s="14" t="s">
        <v>9</v>
      </c>
      <c r="K142" s="14" t="s">
        <v>12</v>
      </c>
      <c r="L142" s="15" t="s">
        <v>43</v>
      </c>
    </row>
    <row r="143" spans="1:12" ht="18.5" x14ac:dyDescent="0.45">
      <c r="A143" s="5" t="s">
        <v>185</v>
      </c>
      <c r="B143" s="11" t="s">
        <v>36</v>
      </c>
      <c r="C143" s="12">
        <v>44338</v>
      </c>
      <c r="D143" s="12">
        <f t="shared" ref="D143" si="139">C143+7</f>
        <v>44345</v>
      </c>
      <c r="E143" s="11">
        <f t="shared" si="126"/>
        <v>7</v>
      </c>
      <c r="F143" s="11" t="s">
        <v>5</v>
      </c>
      <c r="G143" s="11">
        <v>228</v>
      </c>
      <c r="H143" s="11" t="s">
        <v>7</v>
      </c>
      <c r="I143" s="13">
        <v>300</v>
      </c>
      <c r="J143" s="14" t="s">
        <v>9</v>
      </c>
      <c r="K143" s="14" t="s">
        <v>13</v>
      </c>
      <c r="L143" s="15" t="s">
        <v>37</v>
      </c>
    </row>
    <row r="144" spans="1:12" ht="18.5" x14ac:dyDescent="0.45">
      <c r="A144" s="5" t="s">
        <v>186</v>
      </c>
      <c r="B144" s="11" t="s">
        <v>39</v>
      </c>
      <c r="C144" s="12">
        <v>44339</v>
      </c>
      <c r="D144" s="12">
        <f t="shared" ref="D144" si="140">C144+3</f>
        <v>44342</v>
      </c>
      <c r="E144" s="11">
        <f t="shared" si="126"/>
        <v>3</v>
      </c>
      <c r="F144" s="11" t="s">
        <v>3</v>
      </c>
      <c r="G144" s="11">
        <v>229</v>
      </c>
      <c r="H144" s="11" t="s">
        <v>6</v>
      </c>
      <c r="I144" s="13">
        <v>190</v>
      </c>
      <c r="J144" s="14" t="s">
        <v>9</v>
      </c>
      <c r="K144" s="14" t="s">
        <v>14</v>
      </c>
      <c r="L144" s="15" t="s">
        <v>40</v>
      </c>
    </row>
    <row r="145" spans="1:12" ht="18.5" x14ac:dyDescent="0.45">
      <c r="A145" s="5" t="s">
        <v>187</v>
      </c>
      <c r="B145" s="11" t="s">
        <v>39</v>
      </c>
      <c r="C145" s="12">
        <v>44340</v>
      </c>
      <c r="D145" s="12">
        <f t="shared" ref="D145" si="141">C145+4</f>
        <v>44344</v>
      </c>
      <c r="E145" s="11">
        <f t="shared" si="126"/>
        <v>4</v>
      </c>
      <c r="F145" s="11" t="s">
        <v>2</v>
      </c>
      <c r="G145" s="11">
        <v>230</v>
      </c>
      <c r="H145" s="11" t="s">
        <v>7</v>
      </c>
      <c r="I145" s="13">
        <v>300</v>
      </c>
      <c r="J145" s="14" t="s">
        <v>9</v>
      </c>
      <c r="K145" s="14" t="s">
        <v>15</v>
      </c>
      <c r="L145" s="15" t="s">
        <v>43</v>
      </c>
    </row>
    <row r="146" spans="1:12" ht="18.5" x14ac:dyDescent="0.45">
      <c r="A146" s="5" t="s">
        <v>188</v>
      </c>
      <c r="B146" s="11" t="s">
        <v>39</v>
      </c>
      <c r="C146" s="12">
        <v>44341</v>
      </c>
      <c r="D146" s="12">
        <f t="shared" ref="D146" si="142">C146+1</f>
        <v>44342</v>
      </c>
      <c r="E146" s="11">
        <f t="shared" si="126"/>
        <v>1</v>
      </c>
      <c r="F146" s="11" t="s">
        <v>4</v>
      </c>
      <c r="G146" s="11">
        <v>231</v>
      </c>
      <c r="H146" s="11" t="s">
        <v>7</v>
      </c>
      <c r="I146" s="13">
        <v>300</v>
      </c>
      <c r="J146" s="14" t="s">
        <v>9</v>
      </c>
      <c r="K146" s="14" t="s">
        <v>16</v>
      </c>
      <c r="L146" s="15" t="s">
        <v>37</v>
      </c>
    </row>
    <row r="147" spans="1:12" ht="18.5" x14ac:dyDescent="0.45">
      <c r="A147" s="5" t="s">
        <v>189</v>
      </c>
      <c r="B147" s="11" t="s">
        <v>39</v>
      </c>
      <c r="C147" s="12">
        <v>44342</v>
      </c>
      <c r="D147" s="12">
        <f t="shared" ref="D147" si="143">C147+2</f>
        <v>44344</v>
      </c>
      <c r="E147" s="11">
        <f t="shared" si="126"/>
        <v>2</v>
      </c>
      <c r="F147" s="11" t="s">
        <v>5</v>
      </c>
      <c r="G147" s="11">
        <v>232</v>
      </c>
      <c r="H147" s="11" t="s">
        <v>7</v>
      </c>
      <c r="I147" s="13">
        <v>300</v>
      </c>
      <c r="J147" s="14" t="s">
        <v>9</v>
      </c>
      <c r="K147" s="14" t="s">
        <v>17</v>
      </c>
      <c r="L147" s="15" t="s">
        <v>40</v>
      </c>
    </row>
    <row r="148" spans="1:12" ht="18.5" x14ac:dyDescent="0.45">
      <c r="A148" s="5" t="s">
        <v>190</v>
      </c>
      <c r="B148" s="11" t="s">
        <v>39</v>
      </c>
      <c r="C148" s="12">
        <v>44343</v>
      </c>
      <c r="D148" s="12">
        <f t="shared" ref="D148" si="144">C148+7</f>
        <v>44350</v>
      </c>
      <c r="E148" s="11">
        <f t="shared" si="126"/>
        <v>7</v>
      </c>
      <c r="F148" s="11" t="s">
        <v>3</v>
      </c>
      <c r="G148" s="11">
        <v>233</v>
      </c>
      <c r="H148" s="11" t="s">
        <v>7</v>
      </c>
      <c r="I148" s="13">
        <v>300</v>
      </c>
      <c r="J148" s="14" t="s">
        <v>9</v>
      </c>
      <c r="K148" s="14" t="s">
        <v>18</v>
      </c>
      <c r="L148" s="15" t="s">
        <v>43</v>
      </c>
    </row>
    <row r="149" spans="1:12" ht="18.5" x14ac:dyDescent="0.45">
      <c r="A149" s="5" t="s">
        <v>191</v>
      </c>
      <c r="B149" s="11" t="s">
        <v>39</v>
      </c>
      <c r="C149" s="12">
        <v>44344</v>
      </c>
      <c r="D149" s="12">
        <f t="shared" ref="D149" si="145">C149+3</f>
        <v>44347</v>
      </c>
      <c r="E149" s="11">
        <f t="shared" si="126"/>
        <v>3</v>
      </c>
      <c r="F149" s="11" t="s">
        <v>2</v>
      </c>
      <c r="G149" s="11">
        <v>234</v>
      </c>
      <c r="H149" s="11" t="s">
        <v>7</v>
      </c>
      <c r="I149" s="13">
        <v>300</v>
      </c>
      <c r="J149" s="14" t="s">
        <v>9</v>
      </c>
      <c r="K149" s="14" t="s">
        <v>19</v>
      </c>
      <c r="L149" s="15" t="s">
        <v>37</v>
      </c>
    </row>
    <row r="150" spans="1:12" ht="18.5" x14ac:dyDescent="0.45">
      <c r="A150" s="5" t="s">
        <v>192</v>
      </c>
      <c r="B150" s="11" t="s">
        <v>39</v>
      </c>
      <c r="C150" s="12">
        <v>44345</v>
      </c>
      <c r="D150" s="12">
        <f t="shared" ref="D150" si="146">C150+4</f>
        <v>44349</v>
      </c>
      <c r="E150" s="11">
        <f t="shared" si="126"/>
        <v>4</v>
      </c>
      <c r="F150" s="11" t="s">
        <v>4</v>
      </c>
      <c r="G150" s="11">
        <v>235</v>
      </c>
      <c r="H150" s="11" t="s">
        <v>7</v>
      </c>
      <c r="I150" s="13">
        <v>300</v>
      </c>
      <c r="J150" s="14" t="s">
        <v>9</v>
      </c>
      <c r="K150" s="14" t="s">
        <v>13</v>
      </c>
      <c r="L150" s="15" t="s">
        <v>40</v>
      </c>
    </row>
    <row r="151" spans="1:12" ht="18.5" x14ac:dyDescent="0.45">
      <c r="A151" s="5" t="s">
        <v>193</v>
      </c>
      <c r="B151" s="11" t="s">
        <v>39</v>
      </c>
      <c r="C151" s="12">
        <v>44346</v>
      </c>
      <c r="D151" s="12">
        <f t="shared" ref="D151" si="147">C151+1</f>
        <v>44347</v>
      </c>
      <c r="E151" s="11">
        <f t="shared" si="126"/>
        <v>1</v>
      </c>
      <c r="F151" s="11" t="s">
        <v>5</v>
      </c>
      <c r="G151" s="11">
        <v>236</v>
      </c>
      <c r="H151" s="11" t="s">
        <v>7</v>
      </c>
      <c r="I151" s="13">
        <v>300</v>
      </c>
      <c r="J151" s="14" t="s">
        <v>9</v>
      </c>
      <c r="K151" s="14" t="s">
        <v>12</v>
      </c>
      <c r="L151" s="15" t="s">
        <v>43</v>
      </c>
    </row>
    <row r="152" spans="1:12" ht="18.5" x14ac:dyDescent="0.45">
      <c r="A152" s="5" t="s">
        <v>194</v>
      </c>
      <c r="B152" s="11" t="s">
        <v>42</v>
      </c>
      <c r="C152" s="12">
        <v>44347</v>
      </c>
      <c r="D152" s="12">
        <f t="shared" ref="D152" si="148">C152+2</f>
        <v>44349</v>
      </c>
      <c r="E152" s="11">
        <f t="shared" si="126"/>
        <v>2</v>
      </c>
      <c r="F152" s="11" t="s">
        <v>5</v>
      </c>
      <c r="G152" s="11">
        <v>237</v>
      </c>
      <c r="H152" s="11" t="s">
        <v>7</v>
      </c>
      <c r="I152" s="13">
        <v>300</v>
      </c>
      <c r="J152" s="14" t="s">
        <v>9</v>
      </c>
      <c r="K152" s="14" t="s">
        <v>12</v>
      </c>
      <c r="L152" s="15" t="s">
        <v>37</v>
      </c>
    </row>
    <row r="153" spans="1:12" ht="18.5" x14ac:dyDescent="0.45">
      <c r="A153" s="5" t="s">
        <v>195</v>
      </c>
      <c r="B153" s="11" t="s">
        <v>45</v>
      </c>
      <c r="C153" s="12">
        <v>44348</v>
      </c>
      <c r="D153" s="12">
        <f t="shared" ref="D153" si="149">C153+7</f>
        <v>44355</v>
      </c>
      <c r="E153" s="11">
        <f t="shared" si="126"/>
        <v>7</v>
      </c>
      <c r="F153" s="11" t="s">
        <v>5</v>
      </c>
      <c r="G153" s="11">
        <v>238</v>
      </c>
      <c r="H153" s="11" t="s">
        <v>8</v>
      </c>
      <c r="I153" s="13">
        <v>2100</v>
      </c>
      <c r="J153" s="14" t="s">
        <v>9</v>
      </c>
      <c r="K153" s="14" t="s">
        <v>13</v>
      </c>
      <c r="L153" s="15" t="s">
        <v>40</v>
      </c>
    </row>
    <row r="154" spans="1:12" ht="18.5" x14ac:dyDescent="0.45">
      <c r="A154" s="5" t="s">
        <v>196</v>
      </c>
      <c r="B154" s="11" t="s">
        <v>47</v>
      </c>
      <c r="C154" s="12">
        <v>44349</v>
      </c>
      <c r="D154" s="12">
        <f t="shared" ref="D154" si="150">C154+3</f>
        <v>44352</v>
      </c>
      <c r="E154" s="11">
        <f t="shared" si="126"/>
        <v>3</v>
      </c>
      <c r="F154" s="11" t="s">
        <v>5</v>
      </c>
      <c r="G154" s="11">
        <v>239</v>
      </c>
      <c r="H154" s="11" t="s">
        <v>7</v>
      </c>
      <c r="I154" s="13">
        <v>1200</v>
      </c>
      <c r="J154" s="14" t="s">
        <v>9</v>
      </c>
      <c r="K154" s="14" t="s">
        <v>14</v>
      </c>
      <c r="L154" s="15" t="s">
        <v>43</v>
      </c>
    </row>
    <row r="155" spans="1:12" ht="18.5" x14ac:dyDescent="0.45">
      <c r="A155" s="5" t="s">
        <v>197</v>
      </c>
      <c r="B155" s="11" t="s">
        <v>49</v>
      </c>
      <c r="C155" s="12">
        <v>44350</v>
      </c>
      <c r="D155" s="12">
        <f t="shared" ref="D155" si="151">C155+4</f>
        <v>44354</v>
      </c>
      <c r="E155" s="11">
        <f t="shared" si="126"/>
        <v>4</v>
      </c>
      <c r="F155" s="11" t="s">
        <v>5</v>
      </c>
      <c r="G155" s="11">
        <v>240</v>
      </c>
      <c r="H155" s="11" t="s">
        <v>8</v>
      </c>
      <c r="I155" s="13">
        <v>1500</v>
      </c>
      <c r="J155" s="14" t="s">
        <v>9</v>
      </c>
      <c r="K155" s="14" t="s">
        <v>15</v>
      </c>
      <c r="L155" s="15" t="s">
        <v>37</v>
      </c>
    </row>
    <row r="156" spans="1:12" ht="18.5" x14ac:dyDescent="0.45">
      <c r="A156" s="5" t="s">
        <v>198</v>
      </c>
      <c r="B156" s="11" t="s">
        <v>49</v>
      </c>
      <c r="C156" s="12">
        <v>44351</v>
      </c>
      <c r="D156" s="12">
        <f t="shared" ref="D156" si="152">C156+1</f>
        <v>44352</v>
      </c>
      <c r="E156" s="11">
        <f t="shared" si="126"/>
        <v>1</v>
      </c>
      <c r="F156" s="11" t="s">
        <v>2</v>
      </c>
      <c r="G156" s="11">
        <v>241</v>
      </c>
      <c r="H156" s="11" t="s">
        <v>7</v>
      </c>
      <c r="I156" s="13">
        <v>300</v>
      </c>
      <c r="J156" s="14" t="s">
        <v>9</v>
      </c>
      <c r="K156" s="14" t="s">
        <v>16</v>
      </c>
      <c r="L156" s="15" t="s">
        <v>40</v>
      </c>
    </row>
    <row r="157" spans="1:12" ht="18.5" x14ac:dyDescent="0.45">
      <c r="A157" s="5" t="s">
        <v>199</v>
      </c>
      <c r="B157" s="11" t="s">
        <v>49</v>
      </c>
      <c r="C157" s="12">
        <v>44352</v>
      </c>
      <c r="D157" s="12">
        <f t="shared" ref="D157" si="153">C157+2</f>
        <v>44354</v>
      </c>
      <c r="E157" s="11">
        <f t="shared" si="126"/>
        <v>2</v>
      </c>
      <c r="F157" s="11" t="s">
        <v>3</v>
      </c>
      <c r="G157" s="11">
        <v>242</v>
      </c>
      <c r="H157" s="11" t="s">
        <v>6</v>
      </c>
      <c r="I157" s="13">
        <v>190</v>
      </c>
      <c r="J157" s="14" t="s">
        <v>9</v>
      </c>
      <c r="K157" s="14" t="s">
        <v>17</v>
      </c>
      <c r="L157" s="15" t="s">
        <v>43</v>
      </c>
    </row>
    <row r="158" spans="1:12" ht="18.5" x14ac:dyDescent="0.45">
      <c r="A158" s="5" t="s">
        <v>200</v>
      </c>
      <c r="B158" s="11" t="s">
        <v>49</v>
      </c>
      <c r="C158" s="12">
        <v>44353</v>
      </c>
      <c r="D158" s="12">
        <f t="shared" ref="D158" si="154">C158+7</f>
        <v>44360</v>
      </c>
      <c r="E158" s="11">
        <f t="shared" si="126"/>
        <v>7</v>
      </c>
      <c r="F158" s="11" t="s">
        <v>4</v>
      </c>
      <c r="G158" s="11">
        <v>243</v>
      </c>
      <c r="H158" s="11" t="s">
        <v>6</v>
      </c>
      <c r="I158" s="13">
        <v>210</v>
      </c>
      <c r="J158" s="14" t="s">
        <v>9</v>
      </c>
      <c r="K158" s="14" t="s">
        <v>18</v>
      </c>
      <c r="L158" s="15" t="s">
        <v>37</v>
      </c>
    </row>
    <row r="159" spans="1:12" ht="18.5" x14ac:dyDescent="0.45">
      <c r="A159" s="5" t="s">
        <v>201</v>
      </c>
      <c r="B159" s="11" t="s">
        <v>49</v>
      </c>
      <c r="C159" s="12">
        <v>44354</v>
      </c>
      <c r="D159" s="12">
        <f t="shared" ref="D159" si="155">C159+3</f>
        <v>44357</v>
      </c>
      <c r="E159" s="11">
        <f t="shared" si="126"/>
        <v>3</v>
      </c>
      <c r="F159" s="11" t="s">
        <v>5</v>
      </c>
      <c r="G159" s="11">
        <v>244</v>
      </c>
      <c r="H159" s="11" t="s">
        <v>8</v>
      </c>
      <c r="I159" s="13">
        <v>2100</v>
      </c>
      <c r="J159" s="14" t="s">
        <v>9</v>
      </c>
      <c r="K159" s="14" t="s">
        <v>19</v>
      </c>
      <c r="L159" s="15" t="s">
        <v>40</v>
      </c>
    </row>
    <row r="160" spans="1:12" ht="18.5" x14ac:dyDescent="0.45">
      <c r="A160" s="5" t="s">
        <v>202</v>
      </c>
      <c r="B160" s="11" t="s">
        <v>49</v>
      </c>
      <c r="C160" s="12">
        <v>44355</v>
      </c>
      <c r="D160" s="12">
        <f t="shared" ref="D160" si="156">C160+4</f>
        <v>44359</v>
      </c>
      <c r="E160" s="11">
        <f t="shared" si="126"/>
        <v>4</v>
      </c>
      <c r="F160" s="11" t="s">
        <v>2</v>
      </c>
      <c r="G160" s="11">
        <v>245</v>
      </c>
      <c r="H160" s="11" t="s">
        <v>7</v>
      </c>
      <c r="I160" s="13">
        <v>1200</v>
      </c>
      <c r="J160" s="14" t="s">
        <v>9</v>
      </c>
      <c r="K160" s="14" t="s">
        <v>13</v>
      </c>
      <c r="L160" s="15" t="s">
        <v>43</v>
      </c>
    </row>
    <row r="161" spans="1:12" ht="18.5" x14ac:dyDescent="0.45">
      <c r="A161" s="5" t="s">
        <v>203</v>
      </c>
      <c r="B161" s="11" t="s">
        <v>49</v>
      </c>
      <c r="C161" s="12">
        <v>44356</v>
      </c>
      <c r="D161" s="12">
        <f t="shared" ref="D161" si="157">C161+1</f>
        <v>44357</v>
      </c>
      <c r="E161" s="11">
        <f t="shared" si="126"/>
        <v>1</v>
      </c>
      <c r="F161" s="11" t="s">
        <v>3</v>
      </c>
      <c r="G161" s="11">
        <v>246</v>
      </c>
      <c r="H161" s="11" t="s">
        <v>8</v>
      </c>
      <c r="I161" s="13">
        <v>1500</v>
      </c>
      <c r="J161" s="14" t="s">
        <v>9</v>
      </c>
      <c r="K161" s="14" t="s">
        <v>12</v>
      </c>
      <c r="L161" s="15" t="s">
        <v>37</v>
      </c>
    </row>
    <row r="162" spans="1:12" ht="18.5" x14ac:dyDescent="0.45">
      <c r="A162" s="5" t="s">
        <v>204</v>
      </c>
      <c r="B162" s="11" t="s">
        <v>49</v>
      </c>
      <c r="C162" s="12">
        <v>44357</v>
      </c>
      <c r="D162" s="12">
        <f t="shared" ref="D162" si="158">C162+2</f>
        <v>44359</v>
      </c>
      <c r="E162" s="11">
        <f t="shared" si="126"/>
        <v>2</v>
      </c>
      <c r="F162" s="11" t="s">
        <v>4</v>
      </c>
      <c r="G162" s="11">
        <v>247</v>
      </c>
      <c r="H162" s="11" t="s">
        <v>7</v>
      </c>
      <c r="I162" s="13">
        <v>300</v>
      </c>
      <c r="J162" s="14" t="s">
        <v>9</v>
      </c>
      <c r="K162" s="14" t="s">
        <v>12</v>
      </c>
      <c r="L162" s="15" t="s">
        <v>40</v>
      </c>
    </row>
    <row r="163" spans="1:12" ht="18.5" x14ac:dyDescent="0.45">
      <c r="A163" s="5" t="s">
        <v>205</v>
      </c>
      <c r="B163" s="11" t="s">
        <v>49</v>
      </c>
      <c r="C163" s="12">
        <v>44358</v>
      </c>
      <c r="D163" s="12">
        <f t="shared" ref="D163" si="159">C163+7</f>
        <v>44365</v>
      </c>
      <c r="E163" s="11">
        <f t="shared" si="126"/>
        <v>7</v>
      </c>
      <c r="F163" s="11" t="s">
        <v>5</v>
      </c>
      <c r="G163" s="11">
        <v>248</v>
      </c>
      <c r="H163" s="11" t="s">
        <v>6</v>
      </c>
      <c r="I163" s="13">
        <v>190</v>
      </c>
      <c r="J163" s="14" t="s">
        <v>9</v>
      </c>
      <c r="K163" s="14" t="s">
        <v>13</v>
      </c>
      <c r="L163" s="15" t="s">
        <v>43</v>
      </c>
    </row>
    <row r="164" spans="1:12" ht="18.5" x14ac:dyDescent="0.45">
      <c r="A164" s="5" t="s">
        <v>206</v>
      </c>
      <c r="B164" s="11" t="s">
        <v>36</v>
      </c>
      <c r="C164" s="12">
        <v>44359</v>
      </c>
      <c r="D164" s="12">
        <f t="shared" ref="D164" si="160">C164+3</f>
        <v>44362</v>
      </c>
      <c r="E164" s="11">
        <f t="shared" si="126"/>
        <v>3</v>
      </c>
      <c r="F164" s="11" t="s">
        <v>2</v>
      </c>
      <c r="G164" s="11">
        <v>249</v>
      </c>
      <c r="H164" s="11" t="s">
        <v>6</v>
      </c>
      <c r="I164" s="13">
        <v>210</v>
      </c>
      <c r="J164" s="14" t="s">
        <v>9</v>
      </c>
      <c r="K164" s="14" t="s">
        <v>14</v>
      </c>
      <c r="L164" s="15" t="s">
        <v>37</v>
      </c>
    </row>
    <row r="165" spans="1:12" ht="18.5" x14ac:dyDescent="0.45">
      <c r="A165" s="5" t="s">
        <v>207</v>
      </c>
      <c r="B165" s="11" t="s">
        <v>39</v>
      </c>
      <c r="C165" s="12">
        <v>44360</v>
      </c>
      <c r="D165" s="12">
        <f t="shared" ref="D165" si="161">C165+4</f>
        <v>44364</v>
      </c>
      <c r="E165" s="11">
        <f t="shared" si="126"/>
        <v>4</v>
      </c>
      <c r="F165" s="11" t="s">
        <v>3</v>
      </c>
      <c r="G165" s="11">
        <v>250</v>
      </c>
      <c r="H165" s="11" t="s">
        <v>8</v>
      </c>
      <c r="I165" s="13">
        <v>2100</v>
      </c>
      <c r="J165" s="14" t="s">
        <v>9</v>
      </c>
      <c r="K165" s="14" t="s">
        <v>15</v>
      </c>
      <c r="L165" s="15" t="s">
        <v>40</v>
      </c>
    </row>
    <row r="166" spans="1:12" ht="18.5" x14ac:dyDescent="0.45">
      <c r="A166" s="5" t="s">
        <v>208</v>
      </c>
      <c r="B166" s="11" t="s">
        <v>42</v>
      </c>
      <c r="C166" s="12">
        <v>44361</v>
      </c>
      <c r="D166" s="12">
        <f t="shared" ref="D166" si="162">C166+1</f>
        <v>44362</v>
      </c>
      <c r="E166" s="11">
        <f t="shared" si="126"/>
        <v>1</v>
      </c>
      <c r="F166" s="11" t="s">
        <v>2</v>
      </c>
      <c r="G166" s="11">
        <v>251</v>
      </c>
      <c r="H166" s="11" t="s">
        <v>7</v>
      </c>
      <c r="I166" s="13">
        <v>1200</v>
      </c>
      <c r="J166" s="14" t="s">
        <v>9</v>
      </c>
      <c r="K166" s="14" t="s">
        <v>16</v>
      </c>
      <c r="L166" s="15" t="s">
        <v>43</v>
      </c>
    </row>
    <row r="167" spans="1:12" ht="18.5" x14ac:dyDescent="0.45">
      <c r="A167" s="5" t="s">
        <v>209</v>
      </c>
      <c r="B167" s="11" t="s">
        <v>45</v>
      </c>
      <c r="C167" s="12">
        <v>44362</v>
      </c>
      <c r="D167" s="12">
        <f t="shared" ref="D167" si="163">C167+2</f>
        <v>44364</v>
      </c>
      <c r="E167" s="11">
        <f t="shared" si="126"/>
        <v>2</v>
      </c>
      <c r="F167" s="11" t="s">
        <v>3</v>
      </c>
      <c r="G167" s="11">
        <v>252</v>
      </c>
      <c r="H167" s="11" t="s">
        <v>8</v>
      </c>
      <c r="I167" s="13">
        <v>1500</v>
      </c>
      <c r="J167" s="14" t="s">
        <v>9</v>
      </c>
      <c r="K167" s="14" t="s">
        <v>17</v>
      </c>
      <c r="L167" s="15" t="s">
        <v>37</v>
      </c>
    </row>
    <row r="168" spans="1:12" ht="18.5" x14ac:dyDescent="0.45">
      <c r="A168" s="5" t="s">
        <v>210</v>
      </c>
      <c r="B168" s="11" t="s">
        <v>47</v>
      </c>
      <c r="C168" s="12">
        <v>44363</v>
      </c>
      <c r="D168" s="12">
        <f t="shared" ref="D168" si="164">C168+7</f>
        <v>44370</v>
      </c>
      <c r="E168" s="11">
        <f t="shared" si="126"/>
        <v>7</v>
      </c>
      <c r="F168" s="11" t="s">
        <v>2</v>
      </c>
      <c r="G168" s="11">
        <v>253</v>
      </c>
      <c r="H168" s="11" t="s">
        <v>7</v>
      </c>
      <c r="I168" s="13">
        <v>300</v>
      </c>
      <c r="J168" s="14" t="s">
        <v>9</v>
      </c>
      <c r="K168" s="14" t="s">
        <v>18</v>
      </c>
      <c r="L168" s="15" t="s">
        <v>40</v>
      </c>
    </row>
    <row r="169" spans="1:12" ht="18.5" x14ac:dyDescent="0.45">
      <c r="A169" s="5" t="s">
        <v>211</v>
      </c>
      <c r="B169" s="11" t="s">
        <v>49</v>
      </c>
      <c r="C169" s="12">
        <v>44364</v>
      </c>
      <c r="D169" s="12">
        <f t="shared" ref="D169" si="165">C169+3</f>
        <v>44367</v>
      </c>
      <c r="E169" s="11">
        <f t="shared" si="126"/>
        <v>3</v>
      </c>
      <c r="F169" s="11" t="s">
        <v>2</v>
      </c>
      <c r="G169" s="11">
        <v>254</v>
      </c>
      <c r="H169" s="11" t="s">
        <v>6</v>
      </c>
      <c r="I169" s="13">
        <v>190</v>
      </c>
      <c r="J169" s="14" t="s">
        <v>9</v>
      </c>
      <c r="K169" s="14" t="s">
        <v>19</v>
      </c>
      <c r="L169" s="15" t="s">
        <v>43</v>
      </c>
    </row>
    <row r="170" spans="1:12" ht="18.5" x14ac:dyDescent="0.45">
      <c r="A170" s="5" t="s">
        <v>212</v>
      </c>
      <c r="B170" s="11" t="s">
        <v>36</v>
      </c>
      <c r="C170" s="12">
        <v>44365</v>
      </c>
      <c r="D170" s="12">
        <f t="shared" ref="D170" si="166">C170+4</f>
        <v>44369</v>
      </c>
      <c r="E170" s="11">
        <f t="shared" si="126"/>
        <v>4</v>
      </c>
      <c r="F170" s="11" t="s">
        <v>2</v>
      </c>
      <c r="G170" s="11">
        <v>255</v>
      </c>
      <c r="H170" s="11" t="s">
        <v>6</v>
      </c>
      <c r="I170" s="13">
        <v>210</v>
      </c>
      <c r="J170" s="14" t="s">
        <v>9</v>
      </c>
      <c r="K170" s="14" t="s">
        <v>13</v>
      </c>
      <c r="L170" s="15" t="s">
        <v>37</v>
      </c>
    </row>
    <row r="171" spans="1:12" ht="18.5" x14ac:dyDescent="0.45">
      <c r="A171" s="5" t="s">
        <v>213</v>
      </c>
      <c r="B171" s="11" t="s">
        <v>39</v>
      </c>
      <c r="C171" s="12">
        <v>44366</v>
      </c>
      <c r="D171" s="12">
        <f t="shared" ref="D171" si="167">C171+1</f>
        <v>44367</v>
      </c>
      <c r="E171" s="11">
        <f t="shared" si="126"/>
        <v>1</v>
      </c>
      <c r="F171" s="11" t="s">
        <v>3</v>
      </c>
      <c r="G171" s="11">
        <v>256</v>
      </c>
      <c r="H171" s="11" t="s">
        <v>7</v>
      </c>
      <c r="I171" s="13">
        <v>2100</v>
      </c>
      <c r="J171" s="14" t="s">
        <v>9</v>
      </c>
      <c r="K171" s="14" t="s">
        <v>12</v>
      </c>
      <c r="L171" s="15" t="s">
        <v>40</v>
      </c>
    </row>
    <row r="172" spans="1:12" ht="18.5" x14ac:dyDescent="0.45">
      <c r="A172" s="5" t="s">
        <v>214</v>
      </c>
      <c r="B172" s="11" t="s">
        <v>42</v>
      </c>
      <c r="C172" s="12">
        <v>44367</v>
      </c>
      <c r="D172" s="12">
        <f t="shared" ref="D172" si="168">C172+2</f>
        <v>44369</v>
      </c>
      <c r="E172" s="11">
        <f t="shared" si="126"/>
        <v>2</v>
      </c>
      <c r="F172" s="11" t="s">
        <v>3</v>
      </c>
      <c r="G172" s="11">
        <v>257</v>
      </c>
      <c r="H172" s="11" t="s">
        <v>8</v>
      </c>
      <c r="I172" s="13">
        <v>1200</v>
      </c>
      <c r="J172" s="14" t="s">
        <v>9</v>
      </c>
      <c r="K172" s="14" t="s">
        <v>12</v>
      </c>
      <c r="L172" s="15" t="s">
        <v>43</v>
      </c>
    </row>
    <row r="173" spans="1:12" ht="18.5" x14ac:dyDescent="0.45">
      <c r="A173" s="5" t="s">
        <v>215</v>
      </c>
      <c r="B173" s="11" t="s">
        <v>45</v>
      </c>
      <c r="C173" s="12">
        <v>44368</v>
      </c>
      <c r="D173" s="12">
        <f t="shared" ref="D173" si="169">C173+7</f>
        <v>44375</v>
      </c>
      <c r="E173" s="11">
        <f t="shared" si="126"/>
        <v>7</v>
      </c>
      <c r="F173" s="11" t="s">
        <v>2</v>
      </c>
      <c r="G173" s="11">
        <v>258</v>
      </c>
      <c r="H173" s="11" t="s">
        <v>7</v>
      </c>
      <c r="I173" s="13">
        <v>300</v>
      </c>
      <c r="J173" s="14" t="s">
        <v>9</v>
      </c>
      <c r="K173" s="14" t="s">
        <v>13</v>
      </c>
      <c r="L173" s="15" t="s">
        <v>37</v>
      </c>
    </row>
    <row r="174" spans="1:12" ht="18.5" x14ac:dyDescent="0.45">
      <c r="A174" s="5" t="s">
        <v>216</v>
      </c>
      <c r="B174" s="11" t="s">
        <v>47</v>
      </c>
      <c r="C174" s="12">
        <v>44369</v>
      </c>
      <c r="D174" s="12">
        <f t="shared" ref="D174" si="170">C174+3</f>
        <v>44372</v>
      </c>
      <c r="E174" s="11">
        <f t="shared" si="126"/>
        <v>3</v>
      </c>
      <c r="F174" s="11" t="s">
        <v>2</v>
      </c>
      <c r="G174" s="11">
        <v>259</v>
      </c>
      <c r="H174" s="11" t="s">
        <v>6</v>
      </c>
      <c r="I174" s="13">
        <v>200</v>
      </c>
      <c r="J174" s="14" t="s">
        <v>9</v>
      </c>
      <c r="K174" s="14" t="s">
        <v>14</v>
      </c>
      <c r="L174" s="15" t="s">
        <v>40</v>
      </c>
    </row>
    <row r="175" spans="1:12" ht="18.5" x14ac:dyDescent="0.45">
      <c r="A175" s="5" t="s">
        <v>217</v>
      </c>
      <c r="B175" s="11" t="s">
        <v>49</v>
      </c>
      <c r="C175" s="12">
        <v>44370</v>
      </c>
      <c r="D175" s="12">
        <f t="shared" ref="D175" si="171">C175+4</f>
        <v>44374</v>
      </c>
      <c r="E175" s="11">
        <f t="shared" si="126"/>
        <v>4</v>
      </c>
      <c r="F175" s="11" t="s">
        <v>3</v>
      </c>
      <c r="G175" s="11">
        <v>260</v>
      </c>
      <c r="H175" s="11" t="s">
        <v>6</v>
      </c>
      <c r="I175" s="13">
        <v>190</v>
      </c>
      <c r="J175" s="14" t="s">
        <v>9</v>
      </c>
      <c r="K175" s="14" t="s">
        <v>15</v>
      </c>
      <c r="L175" s="15" t="s">
        <v>43</v>
      </c>
    </row>
    <row r="176" spans="1:12" ht="18.5" x14ac:dyDescent="0.45">
      <c r="A176" s="5" t="s">
        <v>218</v>
      </c>
      <c r="B176" s="11" t="s">
        <v>49</v>
      </c>
      <c r="C176" s="12">
        <v>44371</v>
      </c>
      <c r="D176" s="12">
        <f t="shared" ref="D176" si="172">C176+1</f>
        <v>44372</v>
      </c>
      <c r="E176" s="11">
        <f t="shared" si="126"/>
        <v>1</v>
      </c>
      <c r="F176" s="11" t="s">
        <v>2</v>
      </c>
      <c r="G176" s="11">
        <v>261</v>
      </c>
      <c r="H176" s="11" t="s">
        <v>8</v>
      </c>
      <c r="I176" s="13">
        <v>2100</v>
      </c>
      <c r="J176" s="14" t="s">
        <v>9</v>
      </c>
      <c r="K176" s="14" t="s">
        <v>16</v>
      </c>
      <c r="L176" s="15" t="s">
        <v>37</v>
      </c>
    </row>
    <row r="177" spans="1:12" ht="18.5" x14ac:dyDescent="0.45">
      <c r="A177" s="5" t="s">
        <v>219</v>
      </c>
      <c r="B177" s="11" t="s">
        <v>36</v>
      </c>
      <c r="C177" s="12">
        <v>44372</v>
      </c>
      <c r="D177" s="12">
        <f t="shared" ref="D177" si="173">C177+2</f>
        <v>44374</v>
      </c>
      <c r="E177" s="11">
        <f t="shared" si="126"/>
        <v>2</v>
      </c>
      <c r="F177" s="11" t="s">
        <v>2</v>
      </c>
      <c r="G177" s="11">
        <v>262</v>
      </c>
      <c r="H177" s="11" t="s">
        <v>6</v>
      </c>
      <c r="I177" s="13">
        <v>210</v>
      </c>
      <c r="J177" s="14" t="s">
        <v>9</v>
      </c>
      <c r="K177" s="14" t="s">
        <v>17</v>
      </c>
      <c r="L177" s="15" t="s">
        <v>40</v>
      </c>
    </row>
    <row r="178" spans="1:12" ht="18.5" x14ac:dyDescent="0.45">
      <c r="A178" s="5" t="s">
        <v>220</v>
      </c>
      <c r="B178" s="11" t="s">
        <v>39</v>
      </c>
      <c r="C178" s="12">
        <v>44373</v>
      </c>
      <c r="D178" s="12">
        <f t="shared" ref="D178" si="174">C178+7</f>
        <v>44380</v>
      </c>
      <c r="E178" s="11">
        <f t="shared" si="126"/>
        <v>7</v>
      </c>
      <c r="F178" s="11" t="s">
        <v>2</v>
      </c>
      <c r="G178" s="11">
        <v>263</v>
      </c>
      <c r="H178" s="11" t="s">
        <v>6</v>
      </c>
      <c r="I178" s="13">
        <v>190</v>
      </c>
      <c r="J178" s="14" t="s">
        <v>9</v>
      </c>
      <c r="K178" s="14" t="s">
        <v>18</v>
      </c>
      <c r="L178" s="15" t="s">
        <v>43</v>
      </c>
    </row>
    <row r="179" spans="1:12" ht="18.5" x14ac:dyDescent="0.45">
      <c r="A179" s="5" t="s">
        <v>221</v>
      </c>
      <c r="B179" s="11" t="s">
        <v>42</v>
      </c>
      <c r="C179" s="12">
        <v>44374</v>
      </c>
      <c r="D179" s="12">
        <f t="shared" ref="D179" si="175">C179+3</f>
        <v>44377</v>
      </c>
      <c r="E179" s="11">
        <f t="shared" si="126"/>
        <v>3</v>
      </c>
      <c r="F179" s="11" t="s">
        <v>2</v>
      </c>
      <c r="G179" s="11">
        <v>264</v>
      </c>
      <c r="H179" s="11" t="s">
        <v>6</v>
      </c>
      <c r="I179" s="13">
        <v>190</v>
      </c>
      <c r="J179" s="14" t="s">
        <v>9</v>
      </c>
      <c r="K179" s="14" t="s">
        <v>19</v>
      </c>
      <c r="L179" s="15" t="s">
        <v>37</v>
      </c>
    </row>
    <row r="180" spans="1:12" ht="18.5" x14ac:dyDescent="0.45">
      <c r="A180" s="5" t="s">
        <v>222</v>
      </c>
      <c r="B180" s="11" t="s">
        <v>45</v>
      </c>
      <c r="C180" s="12">
        <v>44375</v>
      </c>
      <c r="D180" s="12">
        <f t="shared" ref="D180" si="176">C180+4</f>
        <v>44379</v>
      </c>
      <c r="E180" s="11">
        <f t="shared" si="126"/>
        <v>4</v>
      </c>
      <c r="F180" s="11" t="s">
        <v>2</v>
      </c>
      <c r="G180" s="11">
        <v>265</v>
      </c>
      <c r="H180" s="11" t="s">
        <v>6</v>
      </c>
      <c r="I180" s="13">
        <v>190</v>
      </c>
      <c r="J180" s="14" t="s">
        <v>9</v>
      </c>
      <c r="K180" s="14" t="s">
        <v>13</v>
      </c>
      <c r="L180" s="15" t="s">
        <v>40</v>
      </c>
    </row>
    <row r="181" spans="1:12" ht="18.5" x14ac:dyDescent="0.45">
      <c r="A181" s="5" t="s">
        <v>223</v>
      </c>
      <c r="B181" s="11" t="s">
        <v>47</v>
      </c>
      <c r="C181" s="12">
        <v>44376</v>
      </c>
      <c r="D181" s="12">
        <f t="shared" ref="D181" si="177">C181+1</f>
        <v>44377</v>
      </c>
      <c r="E181" s="11">
        <f t="shared" si="126"/>
        <v>1</v>
      </c>
      <c r="F181" s="11" t="s">
        <v>2</v>
      </c>
      <c r="G181" s="11">
        <v>266</v>
      </c>
      <c r="H181" s="11" t="s">
        <v>6</v>
      </c>
      <c r="I181" s="13">
        <v>190</v>
      </c>
      <c r="J181" s="14" t="s">
        <v>9</v>
      </c>
      <c r="K181" s="14" t="s">
        <v>12</v>
      </c>
      <c r="L181" s="15" t="s">
        <v>43</v>
      </c>
    </row>
    <row r="182" spans="1:12" ht="18.5" x14ac:dyDescent="0.45">
      <c r="A182" s="5" t="s">
        <v>224</v>
      </c>
      <c r="B182" s="11" t="s">
        <v>49</v>
      </c>
      <c r="C182" s="12">
        <v>44377</v>
      </c>
      <c r="D182" s="12">
        <f t="shared" ref="D182" si="178">C182+2</f>
        <v>44379</v>
      </c>
      <c r="E182" s="11">
        <f t="shared" si="126"/>
        <v>2</v>
      </c>
      <c r="F182" s="11" t="s">
        <v>2</v>
      </c>
      <c r="G182" s="11">
        <v>267</v>
      </c>
      <c r="H182" s="11" t="s">
        <v>6</v>
      </c>
      <c r="I182" s="13">
        <v>190</v>
      </c>
      <c r="J182" s="14" t="s">
        <v>9</v>
      </c>
      <c r="K182" s="14" t="s">
        <v>12</v>
      </c>
      <c r="L182" s="15" t="s">
        <v>37</v>
      </c>
    </row>
    <row r="183" spans="1:12" ht="18.5" x14ac:dyDescent="0.45">
      <c r="A183" s="5" t="s">
        <v>225</v>
      </c>
      <c r="B183" s="11" t="s">
        <v>36</v>
      </c>
      <c r="C183" s="12">
        <v>44378</v>
      </c>
      <c r="D183" s="12">
        <f t="shared" ref="D183" si="179">C183+7</f>
        <v>44385</v>
      </c>
      <c r="E183" s="11">
        <f t="shared" si="126"/>
        <v>7</v>
      </c>
      <c r="F183" s="11" t="s">
        <v>2</v>
      </c>
      <c r="G183" s="11">
        <v>268</v>
      </c>
      <c r="H183" s="11" t="s">
        <v>6</v>
      </c>
      <c r="I183" s="13">
        <v>190</v>
      </c>
      <c r="J183" s="14" t="s">
        <v>9</v>
      </c>
      <c r="K183" s="14" t="s">
        <v>13</v>
      </c>
      <c r="L183" s="15" t="s">
        <v>40</v>
      </c>
    </row>
    <row r="184" spans="1:12" ht="18.5" x14ac:dyDescent="0.45">
      <c r="A184" s="5" t="s">
        <v>226</v>
      </c>
      <c r="B184" s="11" t="s">
        <v>39</v>
      </c>
      <c r="C184" s="12">
        <v>44379</v>
      </c>
      <c r="D184" s="12">
        <f t="shared" ref="D184" si="180">C184+3</f>
        <v>44382</v>
      </c>
      <c r="E184" s="11">
        <f t="shared" si="126"/>
        <v>3</v>
      </c>
      <c r="F184" s="11" t="s">
        <v>3</v>
      </c>
      <c r="G184" s="11">
        <v>269</v>
      </c>
      <c r="H184" s="11" t="s">
        <v>6</v>
      </c>
      <c r="I184" s="13">
        <v>190</v>
      </c>
      <c r="J184" s="14" t="s">
        <v>9</v>
      </c>
      <c r="K184" s="14" t="s">
        <v>14</v>
      </c>
      <c r="L184" s="15" t="s">
        <v>43</v>
      </c>
    </row>
    <row r="185" spans="1:12" ht="18.5" x14ac:dyDescent="0.45">
      <c r="A185" s="5" t="s">
        <v>227</v>
      </c>
      <c r="B185" s="11" t="s">
        <v>42</v>
      </c>
      <c r="C185" s="12">
        <v>44380</v>
      </c>
      <c r="D185" s="12">
        <f t="shared" ref="D185" si="181">C185+4</f>
        <v>44384</v>
      </c>
      <c r="E185" s="11">
        <f t="shared" si="126"/>
        <v>4</v>
      </c>
      <c r="F185" s="11" t="s">
        <v>2</v>
      </c>
      <c r="G185" s="11">
        <v>270</v>
      </c>
      <c r="H185" s="11" t="s">
        <v>7</v>
      </c>
      <c r="I185" s="13">
        <v>1200</v>
      </c>
      <c r="J185" s="14" t="s">
        <v>9</v>
      </c>
      <c r="K185" s="14" t="s">
        <v>15</v>
      </c>
      <c r="L185" s="15" t="s">
        <v>37</v>
      </c>
    </row>
    <row r="186" spans="1:12" ht="18.5" x14ac:dyDescent="0.45">
      <c r="A186" s="5" t="s">
        <v>228</v>
      </c>
      <c r="B186" s="11" t="s">
        <v>45</v>
      </c>
      <c r="C186" s="12">
        <v>44381</v>
      </c>
      <c r="D186" s="12">
        <f t="shared" ref="D186" si="182">C186+1</f>
        <v>44382</v>
      </c>
      <c r="E186" s="11">
        <f t="shared" si="126"/>
        <v>1</v>
      </c>
      <c r="F186" s="11" t="s">
        <v>3</v>
      </c>
      <c r="G186" s="11">
        <v>271</v>
      </c>
      <c r="H186" s="11" t="s">
        <v>8</v>
      </c>
      <c r="I186" s="13">
        <v>1500</v>
      </c>
      <c r="J186" s="14" t="s">
        <v>9</v>
      </c>
      <c r="K186" s="14" t="s">
        <v>16</v>
      </c>
      <c r="L186" s="15" t="s">
        <v>40</v>
      </c>
    </row>
    <row r="187" spans="1:12" ht="18.5" x14ac:dyDescent="0.45">
      <c r="A187" s="5" t="s">
        <v>229</v>
      </c>
      <c r="B187" s="11" t="s">
        <v>47</v>
      </c>
      <c r="C187" s="12">
        <v>44382</v>
      </c>
      <c r="D187" s="12">
        <f t="shared" ref="D187" si="183">C187+2</f>
        <v>44384</v>
      </c>
      <c r="E187" s="11">
        <f t="shared" si="126"/>
        <v>2</v>
      </c>
      <c r="F187" s="11" t="s">
        <v>2</v>
      </c>
      <c r="G187" s="11">
        <v>272</v>
      </c>
      <c r="H187" s="11" t="s">
        <v>7</v>
      </c>
      <c r="I187" s="13">
        <v>300</v>
      </c>
      <c r="J187" s="14" t="s">
        <v>9</v>
      </c>
      <c r="K187" s="14" t="s">
        <v>17</v>
      </c>
      <c r="L187" s="15" t="s">
        <v>43</v>
      </c>
    </row>
    <row r="188" spans="1:12" ht="18.5" x14ac:dyDescent="0.45">
      <c r="A188" s="5" t="s">
        <v>230</v>
      </c>
      <c r="B188" s="11" t="s">
        <v>49</v>
      </c>
      <c r="C188" s="12">
        <v>44383</v>
      </c>
      <c r="D188" s="12">
        <f t="shared" ref="D188" si="184">C188+7</f>
        <v>44390</v>
      </c>
      <c r="E188" s="11">
        <f t="shared" si="126"/>
        <v>7</v>
      </c>
      <c r="F188" s="11" t="s">
        <v>2</v>
      </c>
      <c r="G188" s="11">
        <v>273</v>
      </c>
      <c r="H188" s="11" t="s">
        <v>6</v>
      </c>
      <c r="I188" s="13">
        <v>190</v>
      </c>
      <c r="J188" s="14" t="s">
        <v>9</v>
      </c>
      <c r="K188" s="14" t="s">
        <v>18</v>
      </c>
      <c r="L188" s="15" t="s">
        <v>37</v>
      </c>
    </row>
    <row r="189" spans="1:12" ht="18.5" x14ac:dyDescent="0.45">
      <c r="A189" s="5" t="s">
        <v>231</v>
      </c>
      <c r="B189" s="11" t="s">
        <v>49</v>
      </c>
      <c r="C189" s="12">
        <v>44384</v>
      </c>
      <c r="D189" s="12">
        <f t="shared" ref="D189" si="185">C189+3</f>
        <v>44387</v>
      </c>
      <c r="E189" s="11">
        <f t="shared" si="126"/>
        <v>3</v>
      </c>
      <c r="F189" s="11" t="s">
        <v>2</v>
      </c>
      <c r="G189" s="11">
        <v>274</v>
      </c>
      <c r="H189" s="11" t="s">
        <v>6</v>
      </c>
      <c r="I189" s="13">
        <v>210</v>
      </c>
      <c r="J189" s="14" t="s">
        <v>9</v>
      </c>
      <c r="K189" s="14" t="s">
        <v>19</v>
      </c>
      <c r="L189" s="15" t="s">
        <v>40</v>
      </c>
    </row>
    <row r="190" spans="1:12" ht="18.5" x14ac:dyDescent="0.45">
      <c r="A190" s="5" t="s">
        <v>232</v>
      </c>
      <c r="B190" s="11" t="s">
        <v>36</v>
      </c>
      <c r="C190" s="12">
        <v>44385</v>
      </c>
      <c r="D190" s="12">
        <f t="shared" ref="D190" si="186">C190+4</f>
        <v>44389</v>
      </c>
      <c r="E190" s="11">
        <f t="shared" si="126"/>
        <v>4</v>
      </c>
      <c r="F190" s="11" t="s">
        <v>2</v>
      </c>
      <c r="G190" s="11">
        <v>275</v>
      </c>
      <c r="H190" s="11" t="s">
        <v>8</v>
      </c>
      <c r="I190" s="13">
        <v>2100</v>
      </c>
      <c r="J190" s="14" t="s">
        <v>9</v>
      </c>
      <c r="K190" s="14" t="s">
        <v>13</v>
      </c>
      <c r="L190" s="15" t="s">
        <v>43</v>
      </c>
    </row>
    <row r="191" spans="1:12" ht="18.5" x14ac:dyDescent="0.45">
      <c r="A191" s="5" t="s">
        <v>233</v>
      </c>
      <c r="B191" s="11" t="s">
        <v>36</v>
      </c>
      <c r="C191" s="12">
        <v>44386</v>
      </c>
      <c r="D191" s="12">
        <f t="shared" ref="D191" si="187">C191+1</f>
        <v>44387</v>
      </c>
      <c r="E191" s="11">
        <f t="shared" si="126"/>
        <v>1</v>
      </c>
      <c r="F191" s="11" t="s">
        <v>3</v>
      </c>
      <c r="G191" s="11">
        <v>276</v>
      </c>
      <c r="H191" s="11" t="s">
        <v>7</v>
      </c>
      <c r="I191" s="13">
        <v>1200</v>
      </c>
      <c r="J191" s="14" t="s">
        <v>9</v>
      </c>
      <c r="K191" s="14" t="s">
        <v>12</v>
      </c>
      <c r="L191" s="15" t="s">
        <v>37</v>
      </c>
    </row>
    <row r="192" spans="1:12" ht="18.5" x14ac:dyDescent="0.45">
      <c r="A192" s="5" t="s">
        <v>234</v>
      </c>
      <c r="B192" s="11" t="s">
        <v>36</v>
      </c>
      <c r="C192" s="12">
        <v>44387</v>
      </c>
      <c r="D192" s="12">
        <f t="shared" ref="D192" si="188">C192+2</f>
        <v>44389</v>
      </c>
      <c r="E192" s="11">
        <f t="shared" si="126"/>
        <v>2</v>
      </c>
      <c r="F192" s="11" t="s">
        <v>4</v>
      </c>
      <c r="G192" s="11">
        <v>277</v>
      </c>
      <c r="H192" s="11" t="s">
        <v>8</v>
      </c>
      <c r="I192" s="13">
        <v>1500</v>
      </c>
      <c r="J192" s="14" t="s">
        <v>9</v>
      </c>
      <c r="K192" s="14" t="s">
        <v>12</v>
      </c>
      <c r="L192" s="15" t="s">
        <v>40</v>
      </c>
    </row>
    <row r="193" spans="1:12" ht="18.5" x14ac:dyDescent="0.45">
      <c r="A193" s="5" t="s">
        <v>235</v>
      </c>
      <c r="B193" s="11" t="s">
        <v>36</v>
      </c>
      <c r="C193" s="12">
        <v>44388</v>
      </c>
      <c r="D193" s="12">
        <f t="shared" ref="D193" si="189">C193+7</f>
        <v>44395</v>
      </c>
      <c r="E193" s="11">
        <f t="shared" si="126"/>
        <v>7</v>
      </c>
      <c r="F193" s="11" t="s">
        <v>5</v>
      </c>
      <c r="G193" s="11">
        <v>278</v>
      </c>
      <c r="H193" s="11" t="s">
        <v>7</v>
      </c>
      <c r="I193" s="13">
        <v>300</v>
      </c>
      <c r="J193" s="14" t="s">
        <v>9</v>
      </c>
      <c r="K193" s="14" t="s">
        <v>13</v>
      </c>
      <c r="L193" s="15" t="s">
        <v>43</v>
      </c>
    </row>
    <row r="194" spans="1:12" ht="18.5" x14ac:dyDescent="0.45">
      <c r="A194" s="5" t="s">
        <v>236</v>
      </c>
      <c r="B194" s="11" t="s">
        <v>36</v>
      </c>
      <c r="C194" s="12">
        <v>44389</v>
      </c>
      <c r="D194" s="12">
        <f t="shared" ref="D194" si="190">C194+3</f>
        <v>44392</v>
      </c>
      <c r="E194" s="11">
        <f t="shared" ref="E194:E257" si="191">D194-C194</f>
        <v>3</v>
      </c>
      <c r="F194" s="11" t="s">
        <v>2</v>
      </c>
      <c r="G194" s="11">
        <v>279</v>
      </c>
      <c r="H194" s="11" t="s">
        <v>6</v>
      </c>
      <c r="I194" s="13">
        <v>190</v>
      </c>
      <c r="J194" s="14" t="s">
        <v>9</v>
      </c>
      <c r="K194" s="14" t="s">
        <v>14</v>
      </c>
      <c r="L194" s="15" t="s">
        <v>37</v>
      </c>
    </row>
    <row r="195" spans="1:12" ht="18.5" x14ac:dyDescent="0.45">
      <c r="A195" s="5" t="s">
        <v>237</v>
      </c>
      <c r="B195" s="11" t="s">
        <v>36</v>
      </c>
      <c r="C195" s="12">
        <v>44390</v>
      </c>
      <c r="D195" s="12">
        <f t="shared" ref="D195" si="192">C195+4</f>
        <v>44394</v>
      </c>
      <c r="E195" s="11">
        <f t="shared" si="191"/>
        <v>4</v>
      </c>
      <c r="F195" s="11" t="s">
        <v>3</v>
      </c>
      <c r="G195" s="11">
        <v>280</v>
      </c>
      <c r="H195" s="11" t="s">
        <v>6</v>
      </c>
      <c r="I195" s="13">
        <v>210</v>
      </c>
      <c r="J195" s="14" t="s">
        <v>9</v>
      </c>
      <c r="K195" s="14" t="s">
        <v>15</v>
      </c>
      <c r="L195" s="15" t="s">
        <v>40</v>
      </c>
    </row>
    <row r="196" spans="1:12" ht="18.5" x14ac:dyDescent="0.45">
      <c r="A196" s="5" t="s">
        <v>238</v>
      </c>
      <c r="B196" s="11" t="s">
        <v>36</v>
      </c>
      <c r="C196" s="12">
        <v>44391</v>
      </c>
      <c r="D196" s="12">
        <f t="shared" ref="D196" si="193">C196+1</f>
        <v>44392</v>
      </c>
      <c r="E196" s="11">
        <f t="shared" si="191"/>
        <v>1</v>
      </c>
      <c r="F196" s="11" t="s">
        <v>4</v>
      </c>
      <c r="G196" s="11">
        <v>281</v>
      </c>
      <c r="H196" s="11" t="s">
        <v>7</v>
      </c>
      <c r="I196" s="13">
        <v>2100</v>
      </c>
      <c r="J196" s="14" t="s">
        <v>9</v>
      </c>
      <c r="K196" s="14" t="s">
        <v>16</v>
      </c>
      <c r="L196" s="15" t="s">
        <v>43</v>
      </c>
    </row>
    <row r="197" spans="1:12" ht="18.5" x14ac:dyDescent="0.45">
      <c r="A197" s="5" t="s">
        <v>239</v>
      </c>
      <c r="B197" s="11" t="s">
        <v>36</v>
      </c>
      <c r="C197" s="12">
        <v>44392</v>
      </c>
      <c r="D197" s="12">
        <f t="shared" ref="D197" si="194">C197+2</f>
        <v>44394</v>
      </c>
      <c r="E197" s="11">
        <f t="shared" si="191"/>
        <v>2</v>
      </c>
      <c r="F197" s="11" t="s">
        <v>5</v>
      </c>
      <c r="G197" s="11">
        <v>282</v>
      </c>
      <c r="H197" s="11" t="s">
        <v>8</v>
      </c>
      <c r="I197" s="13">
        <v>1200</v>
      </c>
      <c r="J197" s="14" t="s">
        <v>9</v>
      </c>
      <c r="K197" s="14" t="s">
        <v>17</v>
      </c>
      <c r="L197" s="15" t="s">
        <v>37</v>
      </c>
    </row>
    <row r="198" spans="1:12" ht="18.5" x14ac:dyDescent="0.45">
      <c r="A198" s="5" t="s">
        <v>240</v>
      </c>
      <c r="B198" s="11" t="s">
        <v>39</v>
      </c>
      <c r="C198" s="12">
        <v>44393</v>
      </c>
      <c r="D198" s="12">
        <f t="shared" ref="D198" si="195">C198+7</f>
        <v>44400</v>
      </c>
      <c r="E198" s="11">
        <f t="shared" si="191"/>
        <v>7</v>
      </c>
      <c r="F198" s="11" t="s">
        <v>3</v>
      </c>
      <c r="G198" s="11">
        <v>283</v>
      </c>
      <c r="H198" s="11" t="s">
        <v>7</v>
      </c>
      <c r="I198" s="13">
        <v>300</v>
      </c>
      <c r="J198" s="14" t="s">
        <v>9</v>
      </c>
      <c r="K198" s="14" t="s">
        <v>18</v>
      </c>
      <c r="L198" s="15" t="s">
        <v>40</v>
      </c>
    </row>
    <row r="199" spans="1:12" ht="18.5" x14ac:dyDescent="0.45">
      <c r="A199" s="5" t="s">
        <v>241</v>
      </c>
      <c r="B199" s="11" t="s">
        <v>39</v>
      </c>
      <c r="C199" s="12">
        <v>44394</v>
      </c>
      <c r="D199" s="12">
        <f t="shared" ref="D199" si="196">C199+3</f>
        <v>44397</v>
      </c>
      <c r="E199" s="11">
        <f t="shared" si="191"/>
        <v>3</v>
      </c>
      <c r="F199" s="11" t="s">
        <v>2</v>
      </c>
      <c r="G199" s="11">
        <v>284</v>
      </c>
      <c r="H199" s="11" t="s">
        <v>6</v>
      </c>
      <c r="I199" s="13">
        <v>200</v>
      </c>
      <c r="J199" s="14" t="s">
        <v>9</v>
      </c>
      <c r="K199" s="14" t="s">
        <v>19</v>
      </c>
      <c r="L199" s="15" t="s">
        <v>43</v>
      </c>
    </row>
    <row r="200" spans="1:12" ht="18.5" x14ac:dyDescent="0.45">
      <c r="A200" s="5" t="s">
        <v>242</v>
      </c>
      <c r="B200" s="11" t="s">
        <v>39</v>
      </c>
      <c r="C200" s="12">
        <v>44395</v>
      </c>
      <c r="D200" s="12">
        <f t="shared" ref="D200" si="197">C200+4</f>
        <v>44399</v>
      </c>
      <c r="E200" s="11">
        <f t="shared" si="191"/>
        <v>4</v>
      </c>
      <c r="F200" s="11" t="s">
        <v>4</v>
      </c>
      <c r="G200" s="11">
        <v>285</v>
      </c>
      <c r="H200" s="11" t="s">
        <v>6</v>
      </c>
      <c r="I200" s="13">
        <v>190</v>
      </c>
      <c r="J200" s="14" t="s">
        <v>9</v>
      </c>
      <c r="K200" s="14" t="s">
        <v>13</v>
      </c>
      <c r="L200" s="15" t="s">
        <v>37</v>
      </c>
    </row>
    <row r="201" spans="1:12" ht="18.5" x14ac:dyDescent="0.45">
      <c r="A201" s="5" t="s">
        <v>243</v>
      </c>
      <c r="B201" s="11" t="s">
        <v>39</v>
      </c>
      <c r="C201" s="12">
        <v>44396</v>
      </c>
      <c r="D201" s="12">
        <f t="shared" ref="D201" si="198">C201+1</f>
        <v>44397</v>
      </c>
      <c r="E201" s="11">
        <f t="shared" si="191"/>
        <v>1</v>
      </c>
      <c r="F201" s="11" t="s">
        <v>5</v>
      </c>
      <c r="G201" s="11">
        <v>286</v>
      </c>
      <c r="H201" s="11" t="s">
        <v>8</v>
      </c>
      <c r="I201" s="13">
        <v>2100</v>
      </c>
      <c r="J201" s="14" t="s">
        <v>9</v>
      </c>
      <c r="K201" s="14" t="s">
        <v>12</v>
      </c>
      <c r="L201" s="15" t="s">
        <v>40</v>
      </c>
    </row>
    <row r="202" spans="1:12" ht="18.5" x14ac:dyDescent="0.45">
      <c r="A202" s="5" t="s">
        <v>244</v>
      </c>
      <c r="B202" s="11" t="s">
        <v>39</v>
      </c>
      <c r="C202" s="12">
        <v>44397</v>
      </c>
      <c r="D202" s="12">
        <f t="shared" ref="D202" si="199">C202+2</f>
        <v>44399</v>
      </c>
      <c r="E202" s="11">
        <f t="shared" si="191"/>
        <v>2</v>
      </c>
      <c r="F202" s="11" t="s">
        <v>3</v>
      </c>
      <c r="G202" s="11">
        <v>287</v>
      </c>
      <c r="H202" s="11" t="s">
        <v>6</v>
      </c>
      <c r="I202" s="13">
        <v>210</v>
      </c>
      <c r="J202" s="14" t="s">
        <v>9</v>
      </c>
      <c r="K202" s="14" t="s">
        <v>12</v>
      </c>
      <c r="L202" s="15" t="s">
        <v>43</v>
      </c>
    </row>
    <row r="203" spans="1:12" ht="18.5" x14ac:dyDescent="0.45">
      <c r="A203" s="5" t="s">
        <v>245</v>
      </c>
      <c r="B203" s="11" t="s">
        <v>39</v>
      </c>
      <c r="C203" s="12">
        <v>44398</v>
      </c>
      <c r="D203" s="12">
        <f t="shared" ref="D203" si="200">C203+7</f>
        <v>44405</v>
      </c>
      <c r="E203" s="11">
        <f t="shared" si="191"/>
        <v>7</v>
      </c>
      <c r="F203" s="11" t="s">
        <v>2</v>
      </c>
      <c r="G203" s="11">
        <v>288</v>
      </c>
      <c r="H203" s="11" t="s">
        <v>8</v>
      </c>
      <c r="I203" s="13">
        <v>2100</v>
      </c>
      <c r="J203" s="14" t="s">
        <v>9</v>
      </c>
      <c r="K203" s="14" t="s">
        <v>13</v>
      </c>
      <c r="L203" s="15" t="s">
        <v>37</v>
      </c>
    </row>
    <row r="204" spans="1:12" ht="18.5" x14ac:dyDescent="0.45">
      <c r="A204" s="5" t="s">
        <v>246</v>
      </c>
      <c r="B204" s="11" t="s">
        <v>39</v>
      </c>
      <c r="C204" s="12">
        <v>44399</v>
      </c>
      <c r="D204" s="12">
        <f t="shared" ref="D204" si="201">C204+3</f>
        <v>44402</v>
      </c>
      <c r="E204" s="11">
        <f t="shared" si="191"/>
        <v>3</v>
      </c>
      <c r="F204" s="11" t="s">
        <v>4</v>
      </c>
      <c r="G204" s="11">
        <v>289</v>
      </c>
      <c r="H204" s="11" t="s">
        <v>7</v>
      </c>
      <c r="I204" s="13">
        <v>1200</v>
      </c>
      <c r="J204" s="14" t="s">
        <v>9</v>
      </c>
      <c r="K204" s="14" t="s">
        <v>14</v>
      </c>
      <c r="L204" s="15" t="s">
        <v>40</v>
      </c>
    </row>
    <row r="205" spans="1:12" ht="18.5" x14ac:dyDescent="0.45">
      <c r="A205" s="5" t="s">
        <v>247</v>
      </c>
      <c r="B205" s="11" t="s">
        <v>39</v>
      </c>
      <c r="C205" s="12">
        <v>44400</v>
      </c>
      <c r="D205" s="12">
        <f t="shared" ref="D205" si="202">C205+4</f>
        <v>44404</v>
      </c>
      <c r="E205" s="11">
        <f t="shared" si="191"/>
        <v>4</v>
      </c>
      <c r="F205" s="11" t="s">
        <v>5</v>
      </c>
      <c r="G205" s="11">
        <v>290</v>
      </c>
      <c r="H205" s="11" t="s">
        <v>8</v>
      </c>
      <c r="I205" s="13">
        <v>1500</v>
      </c>
      <c r="J205" s="14" t="s">
        <v>9</v>
      </c>
      <c r="K205" s="14" t="s">
        <v>15</v>
      </c>
      <c r="L205" s="15" t="s">
        <v>43</v>
      </c>
    </row>
    <row r="206" spans="1:12" ht="18.5" x14ac:dyDescent="0.45">
      <c r="A206" s="5" t="s">
        <v>248</v>
      </c>
      <c r="B206" s="11" t="s">
        <v>42</v>
      </c>
      <c r="C206" s="12">
        <v>44401</v>
      </c>
      <c r="D206" s="12">
        <f t="shared" ref="D206" si="203">C206+1</f>
        <v>44402</v>
      </c>
      <c r="E206" s="11">
        <f t="shared" si="191"/>
        <v>1</v>
      </c>
      <c r="F206" s="11" t="s">
        <v>5</v>
      </c>
      <c r="G206" s="11">
        <v>291</v>
      </c>
      <c r="H206" s="11" t="s">
        <v>7</v>
      </c>
      <c r="I206" s="13">
        <v>300</v>
      </c>
      <c r="J206" s="14" t="s">
        <v>9</v>
      </c>
      <c r="K206" s="14" t="s">
        <v>16</v>
      </c>
      <c r="L206" s="15" t="s">
        <v>37</v>
      </c>
    </row>
    <row r="207" spans="1:12" ht="18.5" x14ac:dyDescent="0.45">
      <c r="A207" s="5" t="s">
        <v>249</v>
      </c>
      <c r="B207" s="11" t="s">
        <v>45</v>
      </c>
      <c r="C207" s="12">
        <v>44402</v>
      </c>
      <c r="D207" s="12">
        <f t="shared" ref="D207" si="204">C207+2</f>
        <v>44404</v>
      </c>
      <c r="E207" s="11">
        <f t="shared" si="191"/>
        <v>2</v>
      </c>
      <c r="F207" s="11" t="s">
        <v>5</v>
      </c>
      <c r="G207" s="11">
        <v>292</v>
      </c>
      <c r="H207" s="11" t="s">
        <v>6</v>
      </c>
      <c r="I207" s="13">
        <v>190</v>
      </c>
      <c r="J207" s="14" t="s">
        <v>9</v>
      </c>
      <c r="K207" s="14" t="s">
        <v>17</v>
      </c>
      <c r="L207" s="15" t="s">
        <v>40</v>
      </c>
    </row>
    <row r="208" spans="1:12" ht="18.5" x14ac:dyDescent="0.45">
      <c r="A208" s="5" t="s">
        <v>250</v>
      </c>
      <c r="B208" s="11" t="s">
        <v>47</v>
      </c>
      <c r="C208" s="12">
        <v>44403</v>
      </c>
      <c r="D208" s="12">
        <f t="shared" ref="D208" si="205">C208+7</f>
        <v>44410</v>
      </c>
      <c r="E208" s="11">
        <f t="shared" si="191"/>
        <v>7</v>
      </c>
      <c r="F208" s="11" t="s">
        <v>5</v>
      </c>
      <c r="G208" s="11">
        <v>293</v>
      </c>
      <c r="H208" s="11" t="s">
        <v>6</v>
      </c>
      <c r="I208" s="13">
        <v>210</v>
      </c>
      <c r="J208" s="14" t="s">
        <v>9</v>
      </c>
      <c r="K208" s="14" t="s">
        <v>18</v>
      </c>
      <c r="L208" s="15" t="s">
        <v>43</v>
      </c>
    </row>
    <row r="209" spans="1:12" ht="18.5" x14ac:dyDescent="0.45">
      <c r="A209" s="5" t="s">
        <v>251</v>
      </c>
      <c r="B209" s="11" t="s">
        <v>49</v>
      </c>
      <c r="C209" s="12">
        <v>44404</v>
      </c>
      <c r="D209" s="12">
        <f t="shared" ref="D209" si="206">C209+3</f>
        <v>44407</v>
      </c>
      <c r="E209" s="11">
        <f t="shared" si="191"/>
        <v>3</v>
      </c>
      <c r="F209" s="11" t="s">
        <v>5</v>
      </c>
      <c r="G209" s="11">
        <v>294</v>
      </c>
      <c r="H209" s="11" t="s">
        <v>8</v>
      </c>
      <c r="I209" s="13">
        <v>2100</v>
      </c>
      <c r="J209" s="14" t="s">
        <v>9</v>
      </c>
      <c r="K209" s="14" t="s">
        <v>19</v>
      </c>
      <c r="L209" s="15" t="s">
        <v>37</v>
      </c>
    </row>
    <row r="210" spans="1:12" ht="18.5" x14ac:dyDescent="0.45">
      <c r="A210" s="5" t="s">
        <v>252</v>
      </c>
      <c r="B210" s="11" t="s">
        <v>49</v>
      </c>
      <c r="C210" s="12">
        <v>44405</v>
      </c>
      <c r="D210" s="12">
        <f t="shared" ref="D210" si="207">C210+4</f>
        <v>44409</v>
      </c>
      <c r="E210" s="11">
        <f t="shared" si="191"/>
        <v>4</v>
      </c>
      <c r="F210" s="11" t="s">
        <v>2</v>
      </c>
      <c r="G210" s="11">
        <v>295</v>
      </c>
      <c r="H210" s="11" t="s">
        <v>7</v>
      </c>
      <c r="I210" s="13">
        <v>1200</v>
      </c>
      <c r="J210" s="14" t="s">
        <v>9</v>
      </c>
      <c r="K210" s="14" t="s">
        <v>13</v>
      </c>
      <c r="L210" s="15" t="s">
        <v>40</v>
      </c>
    </row>
    <row r="211" spans="1:12" ht="18.5" x14ac:dyDescent="0.45">
      <c r="A211" s="5" t="s">
        <v>253</v>
      </c>
      <c r="B211" s="11" t="s">
        <v>49</v>
      </c>
      <c r="C211" s="12">
        <v>44406</v>
      </c>
      <c r="D211" s="12">
        <f t="shared" ref="D211" si="208">C211+1</f>
        <v>44407</v>
      </c>
      <c r="E211" s="11">
        <f t="shared" si="191"/>
        <v>1</v>
      </c>
      <c r="F211" s="11" t="s">
        <v>3</v>
      </c>
      <c r="G211" s="11">
        <v>296</v>
      </c>
      <c r="H211" s="11" t="s">
        <v>8</v>
      </c>
      <c r="I211" s="13">
        <v>1500</v>
      </c>
      <c r="J211" s="14" t="s">
        <v>9</v>
      </c>
      <c r="K211" s="14" t="s">
        <v>12</v>
      </c>
      <c r="L211" s="15" t="s">
        <v>43</v>
      </c>
    </row>
    <row r="212" spans="1:12" ht="18.5" x14ac:dyDescent="0.45">
      <c r="A212" s="5" t="s">
        <v>254</v>
      </c>
      <c r="B212" s="11" t="s">
        <v>49</v>
      </c>
      <c r="C212" s="12">
        <v>44407</v>
      </c>
      <c r="D212" s="12">
        <f t="shared" ref="D212" si="209">C212+2</f>
        <v>44409</v>
      </c>
      <c r="E212" s="11">
        <f t="shared" si="191"/>
        <v>2</v>
      </c>
      <c r="F212" s="11" t="s">
        <v>4</v>
      </c>
      <c r="G212" s="11">
        <v>297</v>
      </c>
      <c r="H212" s="11" t="s">
        <v>7</v>
      </c>
      <c r="I212" s="13">
        <v>300</v>
      </c>
      <c r="J212" s="14" t="s">
        <v>9</v>
      </c>
      <c r="K212" s="14" t="s">
        <v>12</v>
      </c>
      <c r="L212" s="15" t="s">
        <v>37</v>
      </c>
    </row>
    <row r="213" spans="1:12" ht="18.5" x14ac:dyDescent="0.45">
      <c r="A213" s="5" t="s">
        <v>255</v>
      </c>
      <c r="B213" s="11" t="s">
        <v>49</v>
      </c>
      <c r="C213" s="12">
        <v>44408</v>
      </c>
      <c r="D213" s="12">
        <f t="shared" ref="D213" si="210">C213+7</f>
        <v>44415</v>
      </c>
      <c r="E213" s="11">
        <f t="shared" si="191"/>
        <v>7</v>
      </c>
      <c r="F213" s="11" t="s">
        <v>5</v>
      </c>
      <c r="G213" s="11">
        <v>298</v>
      </c>
      <c r="H213" s="11" t="s">
        <v>6</v>
      </c>
      <c r="I213" s="13">
        <v>190</v>
      </c>
      <c r="J213" s="14" t="s">
        <v>9</v>
      </c>
      <c r="K213" s="14" t="s">
        <v>13</v>
      </c>
      <c r="L213" s="15" t="s">
        <v>40</v>
      </c>
    </row>
    <row r="214" spans="1:12" ht="18.5" x14ac:dyDescent="0.45">
      <c r="A214" s="5" t="s">
        <v>256</v>
      </c>
      <c r="B214" s="11" t="s">
        <v>49</v>
      </c>
      <c r="C214" s="12">
        <v>44409</v>
      </c>
      <c r="D214" s="12">
        <f t="shared" ref="D214" si="211">C214+3</f>
        <v>44412</v>
      </c>
      <c r="E214" s="11">
        <f t="shared" si="191"/>
        <v>3</v>
      </c>
      <c r="F214" s="11" t="s">
        <v>2</v>
      </c>
      <c r="G214" s="11">
        <v>299</v>
      </c>
      <c r="H214" s="11" t="s">
        <v>6</v>
      </c>
      <c r="I214" s="13">
        <v>210</v>
      </c>
      <c r="J214" s="14" t="s">
        <v>9</v>
      </c>
      <c r="K214" s="14" t="s">
        <v>14</v>
      </c>
      <c r="L214" s="15" t="s">
        <v>43</v>
      </c>
    </row>
    <row r="215" spans="1:12" ht="18.5" x14ac:dyDescent="0.45">
      <c r="A215" s="5" t="s">
        <v>257</v>
      </c>
      <c r="B215" s="11" t="s">
        <v>49</v>
      </c>
      <c r="C215" s="12">
        <v>44410</v>
      </c>
      <c r="D215" s="12">
        <f t="shared" ref="D215" si="212">C215+4</f>
        <v>44414</v>
      </c>
      <c r="E215" s="11">
        <f t="shared" si="191"/>
        <v>4</v>
      </c>
      <c r="F215" s="11" t="s">
        <v>3</v>
      </c>
      <c r="G215" s="11">
        <v>300</v>
      </c>
      <c r="H215" s="11" t="s">
        <v>8</v>
      </c>
      <c r="I215" s="13">
        <v>2100</v>
      </c>
      <c r="J215" s="14" t="s">
        <v>9</v>
      </c>
      <c r="K215" s="14" t="s">
        <v>15</v>
      </c>
      <c r="L215" s="15" t="s">
        <v>37</v>
      </c>
    </row>
    <row r="216" spans="1:12" ht="18.5" x14ac:dyDescent="0.45">
      <c r="A216" s="5" t="s">
        <v>258</v>
      </c>
      <c r="B216" s="11" t="s">
        <v>49</v>
      </c>
      <c r="C216" s="12">
        <v>44411</v>
      </c>
      <c r="D216" s="12">
        <f t="shared" ref="D216" si="213">C216+1</f>
        <v>44412</v>
      </c>
      <c r="E216" s="11">
        <f t="shared" si="191"/>
        <v>1</v>
      </c>
      <c r="F216" s="11" t="s">
        <v>4</v>
      </c>
      <c r="G216" s="11">
        <v>301</v>
      </c>
      <c r="H216" s="11" t="s">
        <v>7</v>
      </c>
      <c r="I216" s="13">
        <v>1200</v>
      </c>
      <c r="J216" s="14" t="s">
        <v>9</v>
      </c>
      <c r="K216" s="14" t="s">
        <v>16</v>
      </c>
      <c r="L216" s="15" t="s">
        <v>40</v>
      </c>
    </row>
    <row r="217" spans="1:12" ht="18.5" x14ac:dyDescent="0.45">
      <c r="A217" s="5" t="s">
        <v>259</v>
      </c>
      <c r="B217" s="11" t="s">
        <v>49</v>
      </c>
      <c r="C217" s="12">
        <v>44412</v>
      </c>
      <c r="D217" s="12">
        <f t="shared" ref="D217" si="214">C217+2</f>
        <v>44414</v>
      </c>
      <c r="E217" s="11">
        <f t="shared" si="191"/>
        <v>2</v>
      </c>
      <c r="F217" s="11" t="s">
        <v>5</v>
      </c>
      <c r="G217" s="11">
        <v>302</v>
      </c>
      <c r="H217" s="11" t="s">
        <v>8</v>
      </c>
      <c r="I217" s="13">
        <v>1500</v>
      </c>
      <c r="J217" s="14" t="s">
        <v>9</v>
      </c>
      <c r="K217" s="14" t="s">
        <v>17</v>
      </c>
      <c r="L217" s="15" t="s">
        <v>43</v>
      </c>
    </row>
    <row r="218" spans="1:12" ht="18.5" x14ac:dyDescent="0.45">
      <c r="A218" s="5" t="s">
        <v>260</v>
      </c>
      <c r="B218" s="11" t="s">
        <v>36</v>
      </c>
      <c r="C218" s="12">
        <v>44413</v>
      </c>
      <c r="D218" s="12">
        <f t="shared" ref="D218" si="215">C218+7</f>
        <v>44420</v>
      </c>
      <c r="E218" s="11">
        <f t="shared" si="191"/>
        <v>7</v>
      </c>
      <c r="F218" s="11" t="s">
        <v>2</v>
      </c>
      <c r="G218" s="11">
        <v>303</v>
      </c>
      <c r="H218" s="11" t="s">
        <v>7</v>
      </c>
      <c r="I218" s="13">
        <v>300</v>
      </c>
      <c r="J218" s="14" t="s">
        <v>9</v>
      </c>
      <c r="K218" s="14" t="s">
        <v>18</v>
      </c>
      <c r="L218" s="15" t="s">
        <v>37</v>
      </c>
    </row>
    <row r="219" spans="1:12" ht="18.5" x14ac:dyDescent="0.45">
      <c r="A219" s="5" t="s">
        <v>261</v>
      </c>
      <c r="B219" s="11" t="s">
        <v>39</v>
      </c>
      <c r="C219" s="12">
        <v>44414</v>
      </c>
      <c r="D219" s="12">
        <f t="shared" ref="D219" si="216">C219+3</f>
        <v>44417</v>
      </c>
      <c r="E219" s="11">
        <f t="shared" si="191"/>
        <v>3</v>
      </c>
      <c r="F219" s="11" t="s">
        <v>3</v>
      </c>
      <c r="G219" s="11">
        <v>304</v>
      </c>
      <c r="H219" s="11" t="s">
        <v>6</v>
      </c>
      <c r="I219" s="13">
        <v>190</v>
      </c>
      <c r="J219" s="14" t="s">
        <v>9</v>
      </c>
      <c r="K219" s="14" t="s">
        <v>19</v>
      </c>
      <c r="L219" s="15" t="s">
        <v>40</v>
      </c>
    </row>
    <row r="220" spans="1:12" ht="18.5" x14ac:dyDescent="0.45">
      <c r="A220" s="5" t="s">
        <v>262</v>
      </c>
      <c r="B220" s="11" t="s">
        <v>42</v>
      </c>
      <c r="C220" s="12">
        <v>44415</v>
      </c>
      <c r="D220" s="12">
        <f t="shared" ref="D220" si="217">C220+4</f>
        <v>44419</v>
      </c>
      <c r="E220" s="11">
        <f t="shared" si="191"/>
        <v>4</v>
      </c>
      <c r="F220" s="11" t="s">
        <v>2</v>
      </c>
      <c r="G220" s="11">
        <v>305</v>
      </c>
      <c r="H220" s="11" t="s">
        <v>6</v>
      </c>
      <c r="I220" s="13">
        <v>210</v>
      </c>
      <c r="J220" s="14" t="s">
        <v>9</v>
      </c>
      <c r="K220" s="14" t="s">
        <v>13</v>
      </c>
      <c r="L220" s="15" t="s">
        <v>43</v>
      </c>
    </row>
    <row r="221" spans="1:12" ht="18.5" x14ac:dyDescent="0.45">
      <c r="A221" s="5" t="s">
        <v>263</v>
      </c>
      <c r="B221" s="11" t="s">
        <v>45</v>
      </c>
      <c r="C221" s="12">
        <v>44416</v>
      </c>
      <c r="D221" s="12">
        <f t="shared" ref="D221" si="218">C221+1</f>
        <v>44417</v>
      </c>
      <c r="E221" s="11">
        <f t="shared" si="191"/>
        <v>1</v>
      </c>
      <c r="F221" s="11" t="s">
        <v>3</v>
      </c>
      <c r="G221" s="11">
        <v>306</v>
      </c>
      <c r="H221" s="11" t="s">
        <v>7</v>
      </c>
      <c r="I221" s="13">
        <v>2100</v>
      </c>
      <c r="J221" s="14" t="s">
        <v>9</v>
      </c>
      <c r="K221" s="14" t="s">
        <v>12</v>
      </c>
      <c r="L221" s="15" t="s">
        <v>37</v>
      </c>
    </row>
    <row r="222" spans="1:12" ht="18.5" x14ac:dyDescent="0.45">
      <c r="A222" s="5" t="s">
        <v>264</v>
      </c>
      <c r="B222" s="11" t="s">
        <v>47</v>
      </c>
      <c r="C222" s="12">
        <v>44417</v>
      </c>
      <c r="D222" s="12">
        <f t="shared" ref="D222" si="219">C222+2</f>
        <v>44419</v>
      </c>
      <c r="E222" s="11">
        <f t="shared" si="191"/>
        <v>2</v>
      </c>
      <c r="F222" s="11" t="s">
        <v>2</v>
      </c>
      <c r="G222" s="11">
        <v>307</v>
      </c>
      <c r="H222" s="11" t="s">
        <v>8</v>
      </c>
      <c r="I222" s="13">
        <v>1200</v>
      </c>
      <c r="J222" s="14" t="s">
        <v>9</v>
      </c>
      <c r="K222" s="14" t="s">
        <v>12</v>
      </c>
      <c r="L222" s="15" t="s">
        <v>40</v>
      </c>
    </row>
    <row r="223" spans="1:12" ht="18.5" x14ac:dyDescent="0.45">
      <c r="A223" s="5" t="s">
        <v>265</v>
      </c>
      <c r="B223" s="11" t="s">
        <v>49</v>
      </c>
      <c r="C223" s="12">
        <v>44418</v>
      </c>
      <c r="D223" s="12">
        <f t="shared" ref="D223" si="220">C223+7</f>
        <v>44425</v>
      </c>
      <c r="E223" s="11">
        <f t="shared" si="191"/>
        <v>7</v>
      </c>
      <c r="F223" s="11" t="s">
        <v>2</v>
      </c>
      <c r="G223" s="11">
        <v>308</v>
      </c>
      <c r="H223" s="11" t="s">
        <v>7</v>
      </c>
      <c r="I223" s="13">
        <v>300</v>
      </c>
      <c r="J223" s="14" t="s">
        <v>9</v>
      </c>
      <c r="K223" s="14" t="s">
        <v>13</v>
      </c>
      <c r="L223" s="15" t="s">
        <v>43</v>
      </c>
    </row>
    <row r="224" spans="1:12" ht="18.5" x14ac:dyDescent="0.45">
      <c r="A224" s="5" t="s">
        <v>266</v>
      </c>
      <c r="B224" s="11" t="s">
        <v>36</v>
      </c>
      <c r="C224" s="12">
        <v>44419</v>
      </c>
      <c r="D224" s="12">
        <f t="shared" ref="D224" si="221">C224+3</f>
        <v>44422</v>
      </c>
      <c r="E224" s="11">
        <f t="shared" si="191"/>
        <v>3</v>
      </c>
      <c r="F224" s="11" t="s">
        <v>2</v>
      </c>
      <c r="G224" s="11">
        <v>309</v>
      </c>
      <c r="H224" s="11" t="s">
        <v>6</v>
      </c>
      <c r="I224" s="13">
        <v>200</v>
      </c>
      <c r="J224" s="14" t="s">
        <v>9</v>
      </c>
      <c r="K224" s="14" t="s">
        <v>14</v>
      </c>
      <c r="L224" s="15" t="s">
        <v>37</v>
      </c>
    </row>
    <row r="225" spans="1:12" ht="18.5" x14ac:dyDescent="0.45">
      <c r="A225" s="5" t="s">
        <v>267</v>
      </c>
      <c r="B225" s="11" t="s">
        <v>39</v>
      </c>
      <c r="C225" s="12">
        <v>44420</v>
      </c>
      <c r="D225" s="12">
        <f t="shared" ref="D225" si="222">C225+4</f>
        <v>44424</v>
      </c>
      <c r="E225" s="11">
        <f t="shared" si="191"/>
        <v>4</v>
      </c>
      <c r="F225" s="11" t="s">
        <v>3</v>
      </c>
      <c r="G225" s="11">
        <v>310</v>
      </c>
      <c r="H225" s="11" t="s">
        <v>6</v>
      </c>
      <c r="I225" s="13">
        <v>190</v>
      </c>
      <c r="J225" s="14" t="s">
        <v>9</v>
      </c>
      <c r="K225" s="14" t="s">
        <v>15</v>
      </c>
      <c r="L225" s="15" t="s">
        <v>40</v>
      </c>
    </row>
    <row r="226" spans="1:12" ht="18.5" x14ac:dyDescent="0.45">
      <c r="A226" s="5" t="s">
        <v>268</v>
      </c>
      <c r="B226" s="11" t="s">
        <v>42</v>
      </c>
      <c r="C226" s="12">
        <v>44421</v>
      </c>
      <c r="D226" s="12">
        <f t="shared" ref="D226" si="223">C226+1</f>
        <v>44422</v>
      </c>
      <c r="E226" s="11">
        <f t="shared" si="191"/>
        <v>1</v>
      </c>
      <c r="F226" s="11" t="s">
        <v>3</v>
      </c>
      <c r="G226" s="11">
        <v>311</v>
      </c>
      <c r="H226" s="11" t="s">
        <v>8</v>
      </c>
      <c r="I226" s="13">
        <v>2100</v>
      </c>
      <c r="J226" s="14" t="s">
        <v>9</v>
      </c>
      <c r="K226" s="14" t="s">
        <v>16</v>
      </c>
      <c r="L226" s="15" t="s">
        <v>43</v>
      </c>
    </row>
    <row r="227" spans="1:12" ht="18.5" x14ac:dyDescent="0.45">
      <c r="A227" s="5" t="s">
        <v>269</v>
      </c>
      <c r="B227" s="11" t="s">
        <v>45</v>
      </c>
      <c r="C227" s="12">
        <v>44422</v>
      </c>
      <c r="D227" s="12">
        <f t="shared" ref="D227" si="224">C227+2</f>
        <v>44424</v>
      </c>
      <c r="E227" s="11">
        <f t="shared" si="191"/>
        <v>2</v>
      </c>
      <c r="F227" s="11" t="s">
        <v>2</v>
      </c>
      <c r="G227" s="11">
        <v>312</v>
      </c>
      <c r="H227" s="11" t="s">
        <v>6</v>
      </c>
      <c r="I227" s="13">
        <v>210</v>
      </c>
      <c r="J227" s="14" t="s">
        <v>9</v>
      </c>
      <c r="K227" s="14" t="s">
        <v>17</v>
      </c>
      <c r="L227" s="15" t="s">
        <v>37</v>
      </c>
    </row>
    <row r="228" spans="1:12" ht="18.5" x14ac:dyDescent="0.45">
      <c r="A228" s="5" t="s">
        <v>270</v>
      </c>
      <c r="B228" s="11" t="s">
        <v>47</v>
      </c>
      <c r="C228" s="12">
        <v>44423</v>
      </c>
      <c r="D228" s="12">
        <f t="shared" ref="D228" si="225">C228+7</f>
        <v>44430</v>
      </c>
      <c r="E228" s="11">
        <f t="shared" si="191"/>
        <v>7</v>
      </c>
      <c r="F228" s="11" t="s">
        <v>2</v>
      </c>
      <c r="G228" s="11">
        <v>313</v>
      </c>
      <c r="H228" s="11" t="s">
        <v>8</v>
      </c>
      <c r="I228" s="13">
        <v>2100</v>
      </c>
      <c r="J228" s="14" t="s">
        <v>9</v>
      </c>
      <c r="K228" s="14" t="s">
        <v>18</v>
      </c>
      <c r="L228" s="15" t="s">
        <v>40</v>
      </c>
    </row>
    <row r="229" spans="1:12" ht="18.5" x14ac:dyDescent="0.45">
      <c r="A229" s="5" t="s">
        <v>271</v>
      </c>
      <c r="B229" s="11" t="s">
        <v>49</v>
      </c>
      <c r="C229" s="12">
        <v>44424</v>
      </c>
      <c r="D229" s="12">
        <f t="shared" ref="D229" si="226">C229+3</f>
        <v>44427</v>
      </c>
      <c r="E229" s="11">
        <f t="shared" si="191"/>
        <v>3</v>
      </c>
      <c r="F229" s="11" t="s">
        <v>3</v>
      </c>
      <c r="G229" s="11">
        <v>314</v>
      </c>
      <c r="H229" s="11" t="s">
        <v>7</v>
      </c>
      <c r="I229" s="13">
        <v>1200</v>
      </c>
      <c r="J229" s="14" t="s">
        <v>9</v>
      </c>
      <c r="K229" s="14" t="s">
        <v>19</v>
      </c>
      <c r="L229" s="15" t="s">
        <v>43</v>
      </c>
    </row>
    <row r="230" spans="1:12" ht="18.5" x14ac:dyDescent="0.45">
      <c r="A230" s="5" t="s">
        <v>272</v>
      </c>
      <c r="B230" s="11" t="s">
        <v>49</v>
      </c>
      <c r="C230" s="12">
        <v>44425</v>
      </c>
      <c r="D230" s="12">
        <f t="shared" ref="D230" si="227">C230+4</f>
        <v>44429</v>
      </c>
      <c r="E230" s="11">
        <f t="shared" si="191"/>
        <v>4</v>
      </c>
      <c r="F230" s="11" t="s">
        <v>2</v>
      </c>
      <c r="G230" s="11">
        <v>315</v>
      </c>
      <c r="H230" s="11" t="s">
        <v>8</v>
      </c>
      <c r="I230" s="13">
        <v>1500</v>
      </c>
      <c r="J230" s="14" t="s">
        <v>9</v>
      </c>
      <c r="K230" s="14" t="s">
        <v>13</v>
      </c>
      <c r="L230" s="15" t="s">
        <v>37</v>
      </c>
    </row>
    <row r="231" spans="1:12" ht="18.5" x14ac:dyDescent="0.45">
      <c r="A231" s="5" t="s">
        <v>273</v>
      </c>
      <c r="B231" s="11" t="s">
        <v>36</v>
      </c>
      <c r="C231" s="12">
        <v>44426</v>
      </c>
      <c r="D231" s="12">
        <f t="shared" ref="D231" si="228">C231+1</f>
        <v>44427</v>
      </c>
      <c r="E231" s="11">
        <f t="shared" si="191"/>
        <v>1</v>
      </c>
      <c r="F231" s="11" t="s">
        <v>2</v>
      </c>
      <c r="G231" s="11">
        <v>316</v>
      </c>
      <c r="H231" s="11" t="s">
        <v>7</v>
      </c>
      <c r="I231" s="13">
        <v>300</v>
      </c>
      <c r="J231" s="14" t="s">
        <v>9</v>
      </c>
      <c r="K231" s="14" t="s">
        <v>12</v>
      </c>
      <c r="L231" s="15" t="s">
        <v>40</v>
      </c>
    </row>
    <row r="232" spans="1:12" ht="18.5" x14ac:dyDescent="0.45">
      <c r="A232" s="5" t="s">
        <v>274</v>
      </c>
      <c r="B232" s="11" t="s">
        <v>39</v>
      </c>
      <c r="C232" s="12">
        <v>44427</v>
      </c>
      <c r="D232" s="12">
        <f t="shared" ref="D232" si="229">C232+2</f>
        <v>44429</v>
      </c>
      <c r="E232" s="11">
        <f t="shared" si="191"/>
        <v>2</v>
      </c>
      <c r="F232" s="11" t="s">
        <v>2</v>
      </c>
      <c r="G232" s="11">
        <v>317</v>
      </c>
      <c r="H232" s="11" t="s">
        <v>6</v>
      </c>
      <c r="I232" s="13">
        <v>190</v>
      </c>
      <c r="J232" s="14" t="s">
        <v>9</v>
      </c>
      <c r="K232" s="14" t="s">
        <v>12</v>
      </c>
      <c r="L232" s="15" t="s">
        <v>43</v>
      </c>
    </row>
    <row r="233" spans="1:12" ht="18.5" x14ac:dyDescent="0.45">
      <c r="A233" s="5" t="s">
        <v>275</v>
      </c>
      <c r="B233" s="11" t="s">
        <v>42</v>
      </c>
      <c r="C233" s="12">
        <v>44428</v>
      </c>
      <c r="D233" s="12">
        <f t="shared" ref="D233" si="230">C233+7</f>
        <v>44435</v>
      </c>
      <c r="E233" s="11">
        <f t="shared" si="191"/>
        <v>7</v>
      </c>
      <c r="F233" s="11" t="s">
        <v>2</v>
      </c>
      <c r="G233" s="11">
        <v>318</v>
      </c>
      <c r="H233" s="11" t="s">
        <v>6</v>
      </c>
      <c r="I233" s="13">
        <v>210</v>
      </c>
      <c r="J233" s="14" t="s">
        <v>9</v>
      </c>
      <c r="K233" s="14" t="s">
        <v>13</v>
      </c>
      <c r="L233" s="15" t="s">
        <v>37</v>
      </c>
    </row>
    <row r="234" spans="1:12" ht="18.5" x14ac:dyDescent="0.45">
      <c r="A234" s="5" t="s">
        <v>276</v>
      </c>
      <c r="B234" s="11" t="s">
        <v>45</v>
      </c>
      <c r="C234" s="12">
        <v>44429</v>
      </c>
      <c r="D234" s="12">
        <f t="shared" ref="D234" si="231">C234+3</f>
        <v>44432</v>
      </c>
      <c r="E234" s="11">
        <f t="shared" si="191"/>
        <v>3</v>
      </c>
      <c r="F234" s="11" t="s">
        <v>2</v>
      </c>
      <c r="G234" s="11">
        <v>319</v>
      </c>
      <c r="H234" s="11" t="s">
        <v>8</v>
      </c>
      <c r="I234" s="13">
        <v>2100</v>
      </c>
      <c r="J234" s="14" t="s">
        <v>9</v>
      </c>
      <c r="K234" s="14" t="s">
        <v>14</v>
      </c>
      <c r="L234" s="15" t="s">
        <v>40</v>
      </c>
    </row>
    <row r="235" spans="1:12" ht="18.5" x14ac:dyDescent="0.45">
      <c r="A235" s="5" t="s">
        <v>277</v>
      </c>
      <c r="B235" s="11" t="s">
        <v>47</v>
      </c>
      <c r="C235" s="12">
        <v>44430</v>
      </c>
      <c r="D235" s="12">
        <f t="shared" ref="D235" si="232">C235+4</f>
        <v>44434</v>
      </c>
      <c r="E235" s="11">
        <f t="shared" si="191"/>
        <v>4</v>
      </c>
      <c r="F235" s="11" t="s">
        <v>2</v>
      </c>
      <c r="G235" s="11">
        <v>320</v>
      </c>
      <c r="H235" s="11" t="s">
        <v>8</v>
      </c>
      <c r="I235" s="13">
        <v>2100</v>
      </c>
      <c r="J235" s="14" t="s">
        <v>9</v>
      </c>
      <c r="K235" s="14" t="s">
        <v>15</v>
      </c>
      <c r="L235" s="15" t="s">
        <v>43</v>
      </c>
    </row>
    <row r="236" spans="1:12" ht="18.5" x14ac:dyDescent="0.45">
      <c r="A236" s="5" t="s">
        <v>278</v>
      </c>
      <c r="B236" s="11" t="s">
        <v>49</v>
      </c>
      <c r="C236" s="12">
        <v>44431</v>
      </c>
      <c r="D236" s="12">
        <f t="shared" ref="D236" si="233">C236+1</f>
        <v>44432</v>
      </c>
      <c r="E236" s="11">
        <f t="shared" si="191"/>
        <v>1</v>
      </c>
      <c r="F236" s="11" t="s">
        <v>2</v>
      </c>
      <c r="G236" s="11">
        <v>321</v>
      </c>
      <c r="H236" s="11" t="s">
        <v>8</v>
      </c>
      <c r="I236" s="13">
        <v>1500</v>
      </c>
      <c r="J236" s="14" t="s">
        <v>9</v>
      </c>
      <c r="K236" s="14" t="s">
        <v>16</v>
      </c>
      <c r="L236" s="15" t="s">
        <v>37</v>
      </c>
    </row>
    <row r="237" spans="1:12" ht="18.5" x14ac:dyDescent="0.45">
      <c r="A237" s="5" t="s">
        <v>279</v>
      </c>
      <c r="B237" s="11" t="s">
        <v>36</v>
      </c>
      <c r="C237" s="12">
        <v>44432</v>
      </c>
      <c r="D237" s="12">
        <f t="shared" ref="D237" si="234">C237+2</f>
        <v>44434</v>
      </c>
      <c r="E237" s="11">
        <f t="shared" si="191"/>
        <v>2</v>
      </c>
      <c r="F237" s="11" t="s">
        <v>2</v>
      </c>
      <c r="G237" s="11">
        <v>322</v>
      </c>
      <c r="H237" s="11" t="s">
        <v>7</v>
      </c>
      <c r="I237" s="13">
        <v>300</v>
      </c>
      <c r="J237" s="14" t="s">
        <v>9</v>
      </c>
      <c r="K237" s="14" t="s">
        <v>17</v>
      </c>
      <c r="L237" s="15" t="s">
        <v>40</v>
      </c>
    </row>
    <row r="238" spans="1:12" ht="18.5" x14ac:dyDescent="0.45">
      <c r="A238" s="5" t="s">
        <v>280</v>
      </c>
      <c r="B238" s="11" t="s">
        <v>39</v>
      </c>
      <c r="C238" s="12">
        <v>44433</v>
      </c>
      <c r="D238" s="12">
        <f t="shared" ref="D238" si="235">C238+7</f>
        <v>44440</v>
      </c>
      <c r="E238" s="11">
        <f t="shared" si="191"/>
        <v>7</v>
      </c>
      <c r="F238" s="11" t="s">
        <v>3</v>
      </c>
      <c r="G238" s="11">
        <v>323</v>
      </c>
      <c r="H238" s="11" t="s">
        <v>6</v>
      </c>
      <c r="I238" s="13">
        <v>190</v>
      </c>
      <c r="J238" s="14" t="s">
        <v>9</v>
      </c>
      <c r="K238" s="14" t="s">
        <v>18</v>
      </c>
      <c r="L238" s="15" t="s">
        <v>43</v>
      </c>
    </row>
    <row r="239" spans="1:12" ht="18.5" x14ac:dyDescent="0.45">
      <c r="A239" s="5" t="s">
        <v>281</v>
      </c>
      <c r="B239" s="11" t="s">
        <v>42</v>
      </c>
      <c r="C239" s="12">
        <v>44434</v>
      </c>
      <c r="D239" s="12">
        <f t="shared" ref="D239" si="236">C239+3</f>
        <v>44437</v>
      </c>
      <c r="E239" s="11">
        <f t="shared" si="191"/>
        <v>3</v>
      </c>
      <c r="F239" s="11" t="s">
        <v>2</v>
      </c>
      <c r="G239" s="11">
        <v>324</v>
      </c>
      <c r="H239" s="11" t="s">
        <v>6</v>
      </c>
      <c r="I239" s="13">
        <v>210</v>
      </c>
      <c r="J239" s="14" t="s">
        <v>9</v>
      </c>
      <c r="K239" s="14" t="s">
        <v>19</v>
      </c>
      <c r="L239" s="15" t="s">
        <v>37</v>
      </c>
    </row>
    <row r="240" spans="1:12" ht="18.5" x14ac:dyDescent="0.45">
      <c r="A240" s="5" t="s">
        <v>282</v>
      </c>
      <c r="B240" s="11" t="s">
        <v>45</v>
      </c>
      <c r="C240" s="12">
        <v>44435</v>
      </c>
      <c r="D240" s="12">
        <f t="shared" ref="D240" si="237">C240+4</f>
        <v>44439</v>
      </c>
      <c r="E240" s="11">
        <f t="shared" si="191"/>
        <v>4</v>
      </c>
      <c r="F240" s="11" t="s">
        <v>3</v>
      </c>
      <c r="G240" s="11">
        <v>325</v>
      </c>
      <c r="H240" s="11" t="s">
        <v>8</v>
      </c>
      <c r="I240" s="13">
        <v>2100</v>
      </c>
      <c r="J240" s="14" t="s">
        <v>9</v>
      </c>
      <c r="K240" s="14" t="s">
        <v>13</v>
      </c>
      <c r="L240" s="15" t="s">
        <v>40</v>
      </c>
    </row>
    <row r="241" spans="1:12" ht="18.5" x14ac:dyDescent="0.45">
      <c r="A241" s="5" t="s">
        <v>283</v>
      </c>
      <c r="B241" s="11" t="s">
        <v>47</v>
      </c>
      <c r="C241" s="12">
        <v>44436</v>
      </c>
      <c r="D241" s="12">
        <f t="shared" ref="D241" si="238">C241+1</f>
        <v>44437</v>
      </c>
      <c r="E241" s="11">
        <f t="shared" si="191"/>
        <v>1</v>
      </c>
      <c r="F241" s="11" t="s">
        <v>2</v>
      </c>
      <c r="G241" s="11">
        <v>326</v>
      </c>
      <c r="H241" s="11" t="s">
        <v>7</v>
      </c>
      <c r="I241" s="13">
        <v>1200</v>
      </c>
      <c r="J241" s="14" t="s">
        <v>9</v>
      </c>
      <c r="K241" s="14" t="s">
        <v>12</v>
      </c>
      <c r="L241" s="15" t="s">
        <v>43</v>
      </c>
    </row>
    <row r="242" spans="1:12" ht="18.5" x14ac:dyDescent="0.45">
      <c r="A242" s="5" t="s">
        <v>284</v>
      </c>
      <c r="B242" s="11" t="s">
        <v>49</v>
      </c>
      <c r="C242" s="12">
        <v>44437</v>
      </c>
      <c r="D242" s="12">
        <f t="shared" ref="D242" si="239">C242+2</f>
        <v>44439</v>
      </c>
      <c r="E242" s="11">
        <f t="shared" si="191"/>
        <v>2</v>
      </c>
      <c r="F242" s="11" t="s">
        <v>2</v>
      </c>
      <c r="G242" s="11">
        <v>327</v>
      </c>
      <c r="H242" s="11" t="s">
        <v>8</v>
      </c>
      <c r="I242" s="13">
        <v>1500</v>
      </c>
      <c r="J242" s="14" t="s">
        <v>9</v>
      </c>
      <c r="K242" s="14" t="s">
        <v>12</v>
      </c>
      <c r="L242" s="15" t="s">
        <v>37</v>
      </c>
    </row>
    <row r="243" spans="1:12" ht="18.5" x14ac:dyDescent="0.45">
      <c r="A243" s="5" t="s">
        <v>285</v>
      </c>
      <c r="B243" s="11" t="s">
        <v>49</v>
      </c>
      <c r="C243" s="12">
        <v>44438</v>
      </c>
      <c r="D243" s="12">
        <f t="shared" ref="D243" si="240">C243+7</f>
        <v>44445</v>
      </c>
      <c r="E243" s="11">
        <f t="shared" si="191"/>
        <v>7</v>
      </c>
      <c r="F243" s="11" t="s">
        <v>2</v>
      </c>
      <c r="G243" s="11">
        <v>328</v>
      </c>
      <c r="H243" s="11" t="s">
        <v>7</v>
      </c>
      <c r="I243" s="13">
        <v>300</v>
      </c>
      <c r="J243" s="14" t="s">
        <v>9</v>
      </c>
      <c r="K243" s="14" t="s">
        <v>13</v>
      </c>
      <c r="L243" s="15" t="s">
        <v>40</v>
      </c>
    </row>
    <row r="244" spans="1:12" ht="18.5" x14ac:dyDescent="0.45">
      <c r="A244" s="5" t="s">
        <v>286</v>
      </c>
      <c r="B244" s="11" t="s">
        <v>36</v>
      </c>
      <c r="C244" s="12">
        <v>44439</v>
      </c>
      <c r="D244" s="12">
        <f t="shared" ref="D244" si="241">C244+3</f>
        <v>44442</v>
      </c>
      <c r="E244" s="11">
        <f t="shared" si="191"/>
        <v>3</v>
      </c>
      <c r="F244" s="11" t="s">
        <v>2</v>
      </c>
      <c r="G244" s="11">
        <v>329</v>
      </c>
      <c r="H244" s="11" t="s">
        <v>7</v>
      </c>
      <c r="I244" s="13">
        <v>300</v>
      </c>
      <c r="J244" s="14" t="s">
        <v>9</v>
      </c>
      <c r="K244" s="14" t="s">
        <v>14</v>
      </c>
      <c r="L244" s="15" t="s">
        <v>43</v>
      </c>
    </row>
    <row r="245" spans="1:12" ht="18.5" x14ac:dyDescent="0.45">
      <c r="A245" s="5" t="s">
        <v>287</v>
      </c>
      <c r="B245" s="11" t="s">
        <v>36</v>
      </c>
      <c r="C245" s="12">
        <v>44440</v>
      </c>
      <c r="D245" s="12">
        <f t="shared" ref="D245" si="242">C245+4</f>
        <v>44444</v>
      </c>
      <c r="E245" s="11">
        <f t="shared" si="191"/>
        <v>4</v>
      </c>
      <c r="F245" s="11" t="s">
        <v>3</v>
      </c>
      <c r="G245" s="11">
        <v>330</v>
      </c>
      <c r="H245" s="11" t="s">
        <v>6</v>
      </c>
      <c r="I245" s="13">
        <v>190</v>
      </c>
      <c r="J245" s="14" t="s">
        <v>9</v>
      </c>
      <c r="K245" s="14" t="s">
        <v>15</v>
      </c>
      <c r="L245" s="15" t="s">
        <v>37</v>
      </c>
    </row>
    <row r="246" spans="1:12" ht="18.5" x14ac:dyDescent="0.45">
      <c r="A246" s="5" t="s">
        <v>288</v>
      </c>
      <c r="B246" s="11" t="s">
        <v>36</v>
      </c>
      <c r="C246" s="12">
        <v>44441</v>
      </c>
      <c r="D246" s="12">
        <f t="shared" ref="D246" si="243">C246+1</f>
        <v>44442</v>
      </c>
      <c r="E246" s="11">
        <f t="shared" si="191"/>
        <v>1</v>
      </c>
      <c r="F246" s="11" t="s">
        <v>4</v>
      </c>
      <c r="G246" s="11">
        <v>331</v>
      </c>
      <c r="H246" s="11" t="s">
        <v>6</v>
      </c>
      <c r="I246" s="13">
        <v>210</v>
      </c>
      <c r="J246" s="14" t="s">
        <v>9</v>
      </c>
      <c r="K246" s="14" t="s">
        <v>16</v>
      </c>
      <c r="L246" s="15" t="s">
        <v>40</v>
      </c>
    </row>
    <row r="247" spans="1:12" ht="18.5" x14ac:dyDescent="0.45">
      <c r="A247" s="5" t="s">
        <v>289</v>
      </c>
      <c r="B247" s="11" t="s">
        <v>36</v>
      </c>
      <c r="C247" s="12">
        <v>44442</v>
      </c>
      <c r="D247" s="12">
        <f t="shared" ref="D247" si="244">C247+2</f>
        <v>44444</v>
      </c>
      <c r="E247" s="11">
        <f t="shared" si="191"/>
        <v>2</v>
      </c>
      <c r="F247" s="11" t="s">
        <v>5</v>
      </c>
      <c r="G247" s="11">
        <v>332</v>
      </c>
      <c r="H247" s="11" t="s">
        <v>8</v>
      </c>
      <c r="I247" s="13">
        <v>2100</v>
      </c>
      <c r="J247" s="14" t="s">
        <v>9</v>
      </c>
      <c r="K247" s="14" t="s">
        <v>17</v>
      </c>
      <c r="L247" s="15" t="s">
        <v>43</v>
      </c>
    </row>
    <row r="248" spans="1:12" ht="18.5" x14ac:dyDescent="0.45">
      <c r="A248" s="5" t="s">
        <v>290</v>
      </c>
      <c r="B248" s="11" t="s">
        <v>36</v>
      </c>
      <c r="C248" s="12">
        <v>44443</v>
      </c>
      <c r="D248" s="12">
        <f t="shared" ref="D248" si="245">C248+7</f>
        <v>44450</v>
      </c>
      <c r="E248" s="11">
        <f t="shared" si="191"/>
        <v>7</v>
      </c>
      <c r="F248" s="11" t="s">
        <v>2</v>
      </c>
      <c r="G248" s="11">
        <v>333</v>
      </c>
      <c r="H248" s="11" t="s">
        <v>7</v>
      </c>
      <c r="I248" s="13">
        <v>1200</v>
      </c>
      <c r="J248" s="14" t="s">
        <v>9</v>
      </c>
      <c r="K248" s="14" t="s">
        <v>18</v>
      </c>
      <c r="L248" s="15" t="s">
        <v>37</v>
      </c>
    </row>
    <row r="249" spans="1:12" ht="18.5" x14ac:dyDescent="0.45">
      <c r="A249" s="5" t="s">
        <v>291</v>
      </c>
      <c r="B249" s="11" t="s">
        <v>36</v>
      </c>
      <c r="C249" s="12">
        <v>44444</v>
      </c>
      <c r="D249" s="12">
        <f t="shared" ref="D249" si="246">C249+3</f>
        <v>44447</v>
      </c>
      <c r="E249" s="11">
        <f t="shared" si="191"/>
        <v>3</v>
      </c>
      <c r="F249" s="11" t="s">
        <v>3</v>
      </c>
      <c r="G249" s="11">
        <v>334</v>
      </c>
      <c r="H249" s="11" t="s">
        <v>8</v>
      </c>
      <c r="I249" s="13">
        <v>1500</v>
      </c>
      <c r="J249" s="14" t="s">
        <v>9</v>
      </c>
      <c r="K249" s="14" t="s">
        <v>19</v>
      </c>
      <c r="L249" s="15" t="s">
        <v>40</v>
      </c>
    </row>
    <row r="250" spans="1:12" ht="18.5" x14ac:dyDescent="0.45">
      <c r="A250" s="5" t="s">
        <v>292</v>
      </c>
      <c r="B250" s="11" t="s">
        <v>36</v>
      </c>
      <c r="C250" s="12">
        <v>44445</v>
      </c>
      <c r="D250" s="12">
        <f t="shared" ref="D250" si="247">C250+4</f>
        <v>44449</v>
      </c>
      <c r="E250" s="11">
        <f t="shared" si="191"/>
        <v>4</v>
      </c>
      <c r="F250" s="11" t="s">
        <v>4</v>
      </c>
      <c r="G250" s="11">
        <v>335</v>
      </c>
      <c r="H250" s="11" t="s">
        <v>7</v>
      </c>
      <c r="I250" s="13">
        <v>300</v>
      </c>
      <c r="J250" s="14" t="s">
        <v>9</v>
      </c>
      <c r="K250" s="14" t="s">
        <v>13</v>
      </c>
      <c r="L250" s="15" t="s">
        <v>43</v>
      </c>
    </row>
    <row r="251" spans="1:12" ht="18.5" x14ac:dyDescent="0.45">
      <c r="A251" s="5" t="s">
        <v>293</v>
      </c>
      <c r="B251" s="11" t="s">
        <v>36</v>
      </c>
      <c r="C251" s="12">
        <v>44446</v>
      </c>
      <c r="D251" s="12">
        <f t="shared" ref="D251" si="248">C251+1</f>
        <v>44447</v>
      </c>
      <c r="E251" s="11">
        <f t="shared" si="191"/>
        <v>1</v>
      </c>
      <c r="F251" s="11" t="s">
        <v>5</v>
      </c>
      <c r="G251" s="11">
        <v>336</v>
      </c>
      <c r="H251" s="11" t="s">
        <v>7</v>
      </c>
      <c r="I251" s="13">
        <v>300</v>
      </c>
      <c r="J251" s="14" t="s">
        <v>9</v>
      </c>
      <c r="K251" s="14" t="s">
        <v>12</v>
      </c>
      <c r="L251" s="15" t="s">
        <v>37</v>
      </c>
    </row>
    <row r="252" spans="1:12" ht="18.5" x14ac:dyDescent="0.45">
      <c r="A252" s="5" t="s">
        <v>294</v>
      </c>
      <c r="B252" s="11" t="s">
        <v>39</v>
      </c>
      <c r="C252" s="12">
        <v>44447</v>
      </c>
      <c r="D252" s="12">
        <f t="shared" ref="D252" si="249">C252+2</f>
        <v>44449</v>
      </c>
      <c r="E252" s="11">
        <f t="shared" si="191"/>
        <v>2</v>
      </c>
      <c r="F252" s="11" t="s">
        <v>3</v>
      </c>
      <c r="G252" s="11">
        <v>337</v>
      </c>
      <c r="H252" s="11" t="s">
        <v>6</v>
      </c>
      <c r="I252" s="13">
        <v>190</v>
      </c>
      <c r="J252" s="14" t="s">
        <v>9</v>
      </c>
      <c r="K252" s="14" t="s">
        <v>12</v>
      </c>
      <c r="L252" s="15" t="s">
        <v>40</v>
      </c>
    </row>
    <row r="253" spans="1:12" ht="18.5" x14ac:dyDescent="0.45">
      <c r="A253" s="5" t="s">
        <v>295</v>
      </c>
      <c r="B253" s="11" t="s">
        <v>39</v>
      </c>
      <c r="C253" s="12">
        <v>44448</v>
      </c>
      <c r="D253" s="12">
        <f t="shared" ref="D253" si="250">C253+7</f>
        <v>44455</v>
      </c>
      <c r="E253" s="11">
        <f t="shared" si="191"/>
        <v>7</v>
      </c>
      <c r="F253" s="11" t="s">
        <v>2</v>
      </c>
      <c r="G253" s="11">
        <v>338</v>
      </c>
      <c r="H253" s="11" t="s">
        <v>6</v>
      </c>
      <c r="I253" s="13">
        <v>210</v>
      </c>
      <c r="J253" s="14" t="s">
        <v>9</v>
      </c>
      <c r="K253" s="14" t="s">
        <v>13</v>
      </c>
      <c r="L253" s="15" t="s">
        <v>43</v>
      </c>
    </row>
    <row r="254" spans="1:12" ht="18.5" x14ac:dyDescent="0.45">
      <c r="A254" s="5" t="s">
        <v>296</v>
      </c>
      <c r="B254" s="11" t="s">
        <v>39</v>
      </c>
      <c r="C254" s="12">
        <v>44449</v>
      </c>
      <c r="D254" s="12">
        <f t="shared" ref="D254" si="251">C254+3</f>
        <v>44452</v>
      </c>
      <c r="E254" s="11">
        <f t="shared" si="191"/>
        <v>3</v>
      </c>
      <c r="F254" s="11" t="s">
        <v>4</v>
      </c>
      <c r="G254" s="11">
        <v>339</v>
      </c>
      <c r="H254" s="11" t="s">
        <v>8</v>
      </c>
      <c r="I254" s="13">
        <v>2100</v>
      </c>
      <c r="J254" s="14" t="s">
        <v>9</v>
      </c>
      <c r="K254" s="14" t="s">
        <v>14</v>
      </c>
      <c r="L254" s="15" t="s">
        <v>37</v>
      </c>
    </row>
    <row r="255" spans="1:12" ht="18.5" x14ac:dyDescent="0.45">
      <c r="A255" s="5" t="s">
        <v>297</v>
      </c>
      <c r="B255" s="11" t="s">
        <v>39</v>
      </c>
      <c r="C255" s="12">
        <v>44450</v>
      </c>
      <c r="D255" s="12">
        <f t="shared" ref="D255" si="252">C255+4</f>
        <v>44454</v>
      </c>
      <c r="E255" s="11">
        <f t="shared" si="191"/>
        <v>4</v>
      </c>
      <c r="F255" s="11" t="s">
        <v>5</v>
      </c>
      <c r="G255" s="11">
        <v>340</v>
      </c>
      <c r="H255" s="11" t="s">
        <v>7</v>
      </c>
      <c r="I255" s="13">
        <v>1200</v>
      </c>
      <c r="J255" s="14" t="s">
        <v>9</v>
      </c>
      <c r="K255" s="14" t="s">
        <v>15</v>
      </c>
      <c r="L255" s="15" t="s">
        <v>40</v>
      </c>
    </row>
    <row r="256" spans="1:12" ht="18.5" x14ac:dyDescent="0.45">
      <c r="A256" s="5" t="s">
        <v>298</v>
      </c>
      <c r="B256" s="11" t="s">
        <v>39</v>
      </c>
      <c r="C256" s="12">
        <v>44451</v>
      </c>
      <c r="D256" s="12">
        <f t="shared" ref="D256" si="253">C256+1</f>
        <v>44452</v>
      </c>
      <c r="E256" s="11">
        <f t="shared" si="191"/>
        <v>1</v>
      </c>
      <c r="F256" s="11" t="s">
        <v>3</v>
      </c>
      <c r="G256" s="11">
        <v>341</v>
      </c>
      <c r="H256" s="11" t="s">
        <v>8</v>
      </c>
      <c r="I256" s="13">
        <v>1500</v>
      </c>
      <c r="J256" s="14" t="s">
        <v>9</v>
      </c>
      <c r="K256" s="14" t="s">
        <v>16</v>
      </c>
      <c r="L256" s="15" t="s">
        <v>43</v>
      </c>
    </row>
    <row r="257" spans="1:12" ht="18.5" x14ac:dyDescent="0.45">
      <c r="A257" s="5" t="s">
        <v>299</v>
      </c>
      <c r="B257" s="11" t="s">
        <v>39</v>
      </c>
      <c r="C257" s="12">
        <v>44452</v>
      </c>
      <c r="D257" s="12">
        <f t="shared" ref="D257" si="254">C257+2</f>
        <v>44454</v>
      </c>
      <c r="E257" s="11">
        <f t="shared" si="191"/>
        <v>2</v>
      </c>
      <c r="F257" s="11" t="s">
        <v>2</v>
      </c>
      <c r="G257" s="11">
        <v>342</v>
      </c>
      <c r="H257" s="11" t="s">
        <v>7</v>
      </c>
      <c r="I257" s="13">
        <v>300</v>
      </c>
      <c r="J257" s="14" t="s">
        <v>9</v>
      </c>
      <c r="K257" s="14" t="s">
        <v>17</v>
      </c>
      <c r="L257" s="15" t="s">
        <v>37</v>
      </c>
    </row>
    <row r="258" spans="1:12" ht="18.5" x14ac:dyDescent="0.45">
      <c r="A258" s="5" t="s">
        <v>300</v>
      </c>
      <c r="B258" s="11" t="s">
        <v>39</v>
      </c>
      <c r="C258" s="12">
        <v>44453</v>
      </c>
      <c r="D258" s="12">
        <f t="shared" ref="D258" si="255">C258+7</f>
        <v>44460</v>
      </c>
      <c r="E258" s="11">
        <f t="shared" ref="E258:E321" si="256">D258-C258</f>
        <v>7</v>
      </c>
      <c r="F258" s="11" t="s">
        <v>4</v>
      </c>
      <c r="G258" s="11">
        <v>343</v>
      </c>
      <c r="H258" s="11" t="s">
        <v>6</v>
      </c>
      <c r="I258" s="13">
        <v>210</v>
      </c>
      <c r="J258" s="14" t="s">
        <v>9</v>
      </c>
      <c r="K258" s="14" t="s">
        <v>18</v>
      </c>
      <c r="L258" s="15" t="s">
        <v>40</v>
      </c>
    </row>
    <row r="259" spans="1:12" ht="18.5" x14ac:dyDescent="0.45">
      <c r="A259" s="5" t="s">
        <v>301</v>
      </c>
      <c r="B259" s="11" t="s">
        <v>39</v>
      </c>
      <c r="C259" s="12">
        <v>44454</v>
      </c>
      <c r="D259" s="12">
        <f t="shared" ref="D259" si="257">C259+3</f>
        <v>44457</v>
      </c>
      <c r="E259" s="11">
        <f t="shared" si="256"/>
        <v>3</v>
      </c>
      <c r="F259" s="11" t="s">
        <v>5</v>
      </c>
      <c r="G259" s="11">
        <v>102</v>
      </c>
      <c r="H259" s="11" t="s">
        <v>8</v>
      </c>
      <c r="I259" s="13">
        <v>2100</v>
      </c>
      <c r="J259" s="14" t="s">
        <v>9</v>
      </c>
      <c r="K259" s="14" t="s">
        <v>19</v>
      </c>
      <c r="L259" s="15" t="s">
        <v>43</v>
      </c>
    </row>
    <row r="260" spans="1:12" ht="18.5" x14ac:dyDescent="0.45">
      <c r="A260" s="5" t="s">
        <v>302</v>
      </c>
      <c r="B260" s="11" t="s">
        <v>42</v>
      </c>
      <c r="C260" s="12">
        <v>44455</v>
      </c>
      <c r="D260" s="12">
        <f t="shared" ref="D260" si="258">C260+4</f>
        <v>44459</v>
      </c>
      <c r="E260" s="11">
        <f t="shared" si="256"/>
        <v>4</v>
      </c>
      <c r="F260" s="11" t="s">
        <v>5</v>
      </c>
      <c r="G260" s="11">
        <v>104</v>
      </c>
      <c r="H260" s="11" t="s">
        <v>7</v>
      </c>
      <c r="I260" s="13">
        <v>1200</v>
      </c>
      <c r="J260" s="14" t="s">
        <v>9</v>
      </c>
      <c r="K260" s="14" t="s">
        <v>13</v>
      </c>
      <c r="L260" s="15" t="s">
        <v>37</v>
      </c>
    </row>
    <row r="261" spans="1:12" ht="18.5" x14ac:dyDescent="0.45">
      <c r="A261" s="5" t="s">
        <v>303</v>
      </c>
      <c r="B261" s="11" t="s">
        <v>45</v>
      </c>
      <c r="C261" s="12">
        <v>44456</v>
      </c>
      <c r="D261" s="12">
        <f t="shared" ref="D261" si="259">C261+1</f>
        <v>44457</v>
      </c>
      <c r="E261" s="11">
        <f t="shared" si="256"/>
        <v>1</v>
      </c>
      <c r="F261" s="11" t="s">
        <v>5</v>
      </c>
      <c r="G261" s="11">
        <v>106</v>
      </c>
      <c r="H261" s="11" t="s">
        <v>8</v>
      </c>
      <c r="I261" s="13">
        <v>1500</v>
      </c>
      <c r="J261" s="14" t="s">
        <v>9</v>
      </c>
      <c r="K261" s="14" t="s">
        <v>12</v>
      </c>
      <c r="L261" s="15" t="s">
        <v>40</v>
      </c>
    </row>
    <row r="262" spans="1:12" ht="18.5" x14ac:dyDescent="0.45">
      <c r="A262" s="5" t="s">
        <v>304</v>
      </c>
      <c r="B262" s="11" t="s">
        <v>47</v>
      </c>
      <c r="C262" s="12">
        <v>44457</v>
      </c>
      <c r="D262" s="12">
        <f t="shared" ref="D262" si="260">C262+2</f>
        <v>44459</v>
      </c>
      <c r="E262" s="11">
        <f t="shared" si="256"/>
        <v>2</v>
      </c>
      <c r="F262" s="11" t="s">
        <v>5</v>
      </c>
      <c r="G262" s="11">
        <v>108</v>
      </c>
      <c r="H262" s="11" t="s">
        <v>7</v>
      </c>
      <c r="I262" s="13">
        <v>300</v>
      </c>
      <c r="J262" s="14" t="s">
        <v>9</v>
      </c>
      <c r="K262" s="14" t="s">
        <v>12</v>
      </c>
      <c r="L262" s="15" t="s">
        <v>43</v>
      </c>
    </row>
    <row r="263" spans="1:12" ht="18.5" x14ac:dyDescent="0.45">
      <c r="A263" s="5" t="s">
        <v>305</v>
      </c>
      <c r="B263" s="11" t="s">
        <v>49</v>
      </c>
      <c r="C263" s="12">
        <v>44458</v>
      </c>
      <c r="D263" s="12">
        <f t="shared" ref="D263" si="261">C263+7</f>
        <v>44465</v>
      </c>
      <c r="E263" s="11">
        <f t="shared" si="256"/>
        <v>7</v>
      </c>
      <c r="F263" s="11" t="s">
        <v>5</v>
      </c>
      <c r="G263" s="11">
        <v>110</v>
      </c>
      <c r="H263" s="11" t="s">
        <v>6</v>
      </c>
      <c r="I263" s="13">
        <v>190</v>
      </c>
      <c r="J263" s="14" t="s">
        <v>9</v>
      </c>
      <c r="K263" s="14" t="s">
        <v>13</v>
      </c>
      <c r="L263" s="15" t="s">
        <v>37</v>
      </c>
    </row>
    <row r="264" spans="1:12" ht="18.5" x14ac:dyDescent="0.45">
      <c r="A264" s="5" t="s">
        <v>306</v>
      </c>
      <c r="B264" s="11" t="s">
        <v>49</v>
      </c>
      <c r="C264" s="12">
        <v>44459</v>
      </c>
      <c r="D264" s="12">
        <f t="shared" ref="D264" si="262">C264+3</f>
        <v>44462</v>
      </c>
      <c r="E264" s="11">
        <f t="shared" si="256"/>
        <v>3</v>
      </c>
      <c r="F264" s="11" t="s">
        <v>2</v>
      </c>
      <c r="G264" s="11">
        <v>112</v>
      </c>
      <c r="H264" s="11" t="s">
        <v>6</v>
      </c>
      <c r="I264" s="13">
        <v>210</v>
      </c>
      <c r="J264" s="14" t="s">
        <v>9</v>
      </c>
      <c r="K264" s="14" t="s">
        <v>14</v>
      </c>
      <c r="L264" s="15" t="s">
        <v>40</v>
      </c>
    </row>
    <row r="265" spans="1:12" ht="18.5" x14ac:dyDescent="0.45">
      <c r="A265" s="5" t="s">
        <v>307</v>
      </c>
      <c r="B265" s="11" t="s">
        <v>49</v>
      </c>
      <c r="C265" s="12">
        <v>44460</v>
      </c>
      <c r="D265" s="12">
        <f t="shared" ref="D265" si="263">C265+4</f>
        <v>44464</v>
      </c>
      <c r="E265" s="11">
        <f t="shared" si="256"/>
        <v>4</v>
      </c>
      <c r="F265" s="11" t="s">
        <v>3</v>
      </c>
      <c r="G265" s="11">
        <v>114</v>
      </c>
      <c r="H265" s="11" t="s">
        <v>8</v>
      </c>
      <c r="I265" s="13">
        <v>2100</v>
      </c>
      <c r="J265" s="14" t="s">
        <v>9</v>
      </c>
      <c r="K265" s="14" t="s">
        <v>15</v>
      </c>
      <c r="L265" s="15" t="s">
        <v>43</v>
      </c>
    </row>
    <row r="266" spans="1:12" ht="18.5" x14ac:dyDescent="0.45">
      <c r="A266" s="5" t="s">
        <v>308</v>
      </c>
      <c r="B266" s="11" t="s">
        <v>49</v>
      </c>
      <c r="C266" s="12">
        <v>44461</v>
      </c>
      <c r="D266" s="12">
        <f t="shared" ref="D266" si="264">C266+1</f>
        <v>44462</v>
      </c>
      <c r="E266" s="11">
        <f t="shared" si="256"/>
        <v>1</v>
      </c>
      <c r="F266" s="11" t="s">
        <v>4</v>
      </c>
      <c r="G266" s="11">
        <v>116</v>
      </c>
      <c r="H266" s="11" t="s">
        <v>7</v>
      </c>
      <c r="I266" s="13">
        <v>1200</v>
      </c>
      <c r="J266" s="14" t="s">
        <v>9</v>
      </c>
      <c r="K266" s="14" t="s">
        <v>16</v>
      </c>
      <c r="L266" s="15" t="s">
        <v>37</v>
      </c>
    </row>
    <row r="267" spans="1:12" ht="18.5" x14ac:dyDescent="0.45">
      <c r="A267" s="5" t="s">
        <v>309</v>
      </c>
      <c r="B267" s="11" t="s">
        <v>49</v>
      </c>
      <c r="C267" s="12">
        <v>44462</v>
      </c>
      <c r="D267" s="12">
        <f t="shared" ref="D267" si="265">C267+2</f>
        <v>44464</v>
      </c>
      <c r="E267" s="11">
        <f t="shared" si="256"/>
        <v>2</v>
      </c>
      <c r="F267" s="11" t="s">
        <v>5</v>
      </c>
      <c r="G267" s="11">
        <v>118</v>
      </c>
      <c r="H267" s="11" t="s">
        <v>8</v>
      </c>
      <c r="I267" s="13">
        <v>1500</v>
      </c>
      <c r="J267" s="14" t="s">
        <v>9</v>
      </c>
      <c r="K267" s="14" t="s">
        <v>17</v>
      </c>
      <c r="L267" s="15" t="s">
        <v>40</v>
      </c>
    </row>
    <row r="268" spans="1:12" ht="18.5" x14ac:dyDescent="0.45">
      <c r="A268" s="5" t="s">
        <v>310</v>
      </c>
      <c r="B268" s="11" t="s">
        <v>49</v>
      </c>
      <c r="C268" s="12">
        <v>44463</v>
      </c>
      <c r="D268" s="12">
        <f t="shared" ref="D268" si="266">C268+7</f>
        <v>44470</v>
      </c>
      <c r="E268" s="11">
        <f t="shared" si="256"/>
        <v>7</v>
      </c>
      <c r="F268" s="11" t="s">
        <v>2</v>
      </c>
      <c r="G268" s="11">
        <v>120</v>
      </c>
      <c r="H268" s="11" t="s">
        <v>8</v>
      </c>
      <c r="I268" s="13">
        <v>2100</v>
      </c>
      <c r="J268" s="14" t="s">
        <v>9</v>
      </c>
      <c r="K268" s="14" t="s">
        <v>18</v>
      </c>
      <c r="L268" s="15" t="s">
        <v>43</v>
      </c>
    </row>
    <row r="269" spans="1:12" ht="18.5" x14ac:dyDescent="0.45">
      <c r="A269" s="5" t="s">
        <v>311</v>
      </c>
      <c r="B269" s="11" t="s">
        <v>49</v>
      </c>
      <c r="C269" s="12">
        <v>44464</v>
      </c>
      <c r="D269" s="12">
        <f t="shared" ref="D269" si="267">C269+3</f>
        <v>44467</v>
      </c>
      <c r="E269" s="11">
        <f t="shared" si="256"/>
        <v>3</v>
      </c>
      <c r="F269" s="11" t="s">
        <v>3</v>
      </c>
      <c r="G269" s="11">
        <v>122</v>
      </c>
      <c r="H269" s="11" t="s">
        <v>8</v>
      </c>
      <c r="I269" s="13">
        <v>2100</v>
      </c>
      <c r="J269" s="14" t="s">
        <v>9</v>
      </c>
      <c r="K269" s="14" t="s">
        <v>19</v>
      </c>
      <c r="L269" s="15" t="s">
        <v>37</v>
      </c>
    </row>
    <row r="270" spans="1:12" ht="18.5" x14ac:dyDescent="0.45">
      <c r="A270" s="5" t="s">
        <v>312</v>
      </c>
      <c r="B270" s="11" t="s">
        <v>49</v>
      </c>
      <c r="C270" s="12">
        <v>44465</v>
      </c>
      <c r="D270" s="12">
        <f t="shared" ref="D270" si="268">C270+4</f>
        <v>44469</v>
      </c>
      <c r="E270" s="11">
        <f t="shared" si="256"/>
        <v>4</v>
      </c>
      <c r="F270" s="11" t="s">
        <v>4</v>
      </c>
      <c r="G270" s="11">
        <v>124</v>
      </c>
      <c r="H270" s="11" t="s">
        <v>8</v>
      </c>
      <c r="I270" s="13">
        <v>2100</v>
      </c>
      <c r="J270" s="14" t="s">
        <v>9</v>
      </c>
      <c r="K270" s="14" t="s">
        <v>13</v>
      </c>
      <c r="L270" s="15" t="s">
        <v>40</v>
      </c>
    </row>
    <row r="271" spans="1:12" ht="18.5" x14ac:dyDescent="0.45">
      <c r="A271" s="5" t="s">
        <v>313</v>
      </c>
      <c r="B271" s="11" t="s">
        <v>49</v>
      </c>
      <c r="C271" s="12">
        <v>44466</v>
      </c>
      <c r="D271" s="12">
        <f t="shared" ref="D271" si="269">C271+1</f>
        <v>44467</v>
      </c>
      <c r="E271" s="11">
        <f t="shared" si="256"/>
        <v>1</v>
      </c>
      <c r="F271" s="11" t="s">
        <v>5</v>
      </c>
      <c r="G271" s="11">
        <v>126</v>
      </c>
      <c r="H271" s="11" t="s">
        <v>8</v>
      </c>
      <c r="I271" s="13">
        <v>2100</v>
      </c>
      <c r="J271" s="14" t="s">
        <v>9</v>
      </c>
      <c r="K271" s="14" t="s">
        <v>12</v>
      </c>
      <c r="L271" s="15" t="s">
        <v>43</v>
      </c>
    </row>
    <row r="272" spans="1:12" ht="18.5" x14ac:dyDescent="0.45">
      <c r="A272" s="5" t="s">
        <v>314</v>
      </c>
      <c r="B272" s="11" t="s">
        <v>36</v>
      </c>
      <c r="C272" s="12">
        <v>44467</v>
      </c>
      <c r="D272" s="12">
        <f t="shared" ref="D272" si="270">C272+2</f>
        <v>44469</v>
      </c>
      <c r="E272" s="11">
        <f t="shared" si="256"/>
        <v>2</v>
      </c>
      <c r="F272" s="11" t="s">
        <v>2</v>
      </c>
      <c r="G272" s="11">
        <v>128</v>
      </c>
      <c r="H272" s="11" t="s">
        <v>8</v>
      </c>
      <c r="I272" s="13">
        <v>2100</v>
      </c>
      <c r="J272" s="14" t="s">
        <v>9</v>
      </c>
      <c r="K272" s="14" t="s">
        <v>12</v>
      </c>
      <c r="L272" s="15" t="s">
        <v>37</v>
      </c>
    </row>
    <row r="273" spans="1:12" ht="18.5" x14ac:dyDescent="0.45">
      <c r="A273" s="5" t="s">
        <v>315</v>
      </c>
      <c r="B273" s="11" t="s">
        <v>39</v>
      </c>
      <c r="C273" s="12">
        <v>44468</v>
      </c>
      <c r="D273" s="12">
        <f t="shared" ref="D273" si="271">C273+7</f>
        <v>44475</v>
      </c>
      <c r="E273" s="11">
        <f t="shared" si="256"/>
        <v>7</v>
      </c>
      <c r="F273" s="11" t="s">
        <v>3</v>
      </c>
      <c r="G273" s="11">
        <v>130</v>
      </c>
      <c r="H273" s="11" t="s">
        <v>8</v>
      </c>
      <c r="I273" s="13">
        <v>2100</v>
      </c>
      <c r="J273" s="14" t="s">
        <v>9</v>
      </c>
      <c r="K273" s="14" t="s">
        <v>13</v>
      </c>
      <c r="L273" s="15" t="s">
        <v>40</v>
      </c>
    </row>
    <row r="274" spans="1:12" ht="18.5" x14ac:dyDescent="0.45">
      <c r="A274" s="5" t="s">
        <v>316</v>
      </c>
      <c r="B274" s="11" t="s">
        <v>42</v>
      </c>
      <c r="C274" s="12">
        <v>44469</v>
      </c>
      <c r="D274" s="12">
        <f t="shared" ref="D274" si="272">C274+3</f>
        <v>44472</v>
      </c>
      <c r="E274" s="11">
        <f t="shared" si="256"/>
        <v>3</v>
      </c>
      <c r="F274" s="11" t="s">
        <v>2</v>
      </c>
      <c r="G274" s="11">
        <v>132</v>
      </c>
      <c r="H274" s="11" t="s">
        <v>8</v>
      </c>
      <c r="I274" s="13">
        <v>2100</v>
      </c>
      <c r="J274" s="14" t="s">
        <v>9</v>
      </c>
      <c r="K274" s="14" t="s">
        <v>14</v>
      </c>
      <c r="L274" s="15" t="s">
        <v>43</v>
      </c>
    </row>
    <row r="275" spans="1:12" ht="18.5" x14ac:dyDescent="0.45">
      <c r="A275" s="5" t="s">
        <v>317</v>
      </c>
      <c r="B275" s="11" t="s">
        <v>45</v>
      </c>
      <c r="C275" s="12">
        <v>44470</v>
      </c>
      <c r="D275" s="12">
        <f t="shared" ref="D275" si="273">C275+4</f>
        <v>44474</v>
      </c>
      <c r="E275" s="11">
        <f t="shared" si="256"/>
        <v>4</v>
      </c>
      <c r="F275" s="11" t="s">
        <v>3</v>
      </c>
      <c r="G275" s="11">
        <v>134</v>
      </c>
      <c r="H275" s="11" t="s">
        <v>8</v>
      </c>
      <c r="I275" s="13">
        <v>2100</v>
      </c>
      <c r="J275" s="14" t="s">
        <v>9</v>
      </c>
      <c r="K275" s="14" t="s">
        <v>15</v>
      </c>
      <c r="L275" s="15" t="s">
        <v>37</v>
      </c>
    </row>
    <row r="276" spans="1:12" ht="18.5" x14ac:dyDescent="0.45">
      <c r="A276" s="5" t="s">
        <v>318</v>
      </c>
      <c r="B276" s="11" t="s">
        <v>47</v>
      </c>
      <c r="C276" s="12">
        <v>44471</v>
      </c>
      <c r="D276" s="12">
        <f t="shared" ref="D276" si="274">C276+1</f>
        <v>44472</v>
      </c>
      <c r="E276" s="11">
        <f t="shared" si="256"/>
        <v>1</v>
      </c>
      <c r="F276" s="11" t="s">
        <v>2</v>
      </c>
      <c r="G276" s="11">
        <v>136</v>
      </c>
      <c r="H276" s="11" t="s">
        <v>8</v>
      </c>
      <c r="I276" s="13">
        <v>2100</v>
      </c>
      <c r="J276" s="14" t="s">
        <v>9</v>
      </c>
      <c r="K276" s="14" t="s">
        <v>16</v>
      </c>
      <c r="L276" s="15" t="s">
        <v>40</v>
      </c>
    </row>
    <row r="277" spans="1:12" ht="18.5" x14ac:dyDescent="0.45">
      <c r="A277" s="5" t="s">
        <v>319</v>
      </c>
      <c r="B277" s="11" t="s">
        <v>49</v>
      </c>
      <c r="C277" s="12">
        <v>44472</v>
      </c>
      <c r="D277" s="12">
        <f t="shared" ref="D277" si="275">C277+2</f>
        <v>44474</v>
      </c>
      <c r="E277" s="11">
        <f t="shared" si="256"/>
        <v>2</v>
      </c>
      <c r="F277" s="11" t="s">
        <v>2</v>
      </c>
      <c r="G277" s="11">
        <v>138</v>
      </c>
      <c r="H277" s="11" t="s">
        <v>8</v>
      </c>
      <c r="I277" s="13">
        <v>2100</v>
      </c>
      <c r="J277" s="14" t="s">
        <v>9</v>
      </c>
      <c r="K277" s="14" t="s">
        <v>17</v>
      </c>
      <c r="L277" s="15" t="s">
        <v>43</v>
      </c>
    </row>
    <row r="278" spans="1:12" ht="18.5" x14ac:dyDescent="0.45">
      <c r="A278" s="5" t="s">
        <v>320</v>
      </c>
      <c r="B278" s="11" t="s">
        <v>36</v>
      </c>
      <c r="C278" s="12">
        <v>44473</v>
      </c>
      <c r="D278" s="12">
        <f t="shared" ref="D278" si="276">C278+7</f>
        <v>44480</v>
      </c>
      <c r="E278" s="11">
        <f t="shared" si="256"/>
        <v>7</v>
      </c>
      <c r="F278" s="11" t="s">
        <v>2</v>
      </c>
      <c r="G278" s="11">
        <v>140</v>
      </c>
      <c r="H278" s="11" t="s">
        <v>8</v>
      </c>
      <c r="I278" s="13">
        <v>2100</v>
      </c>
      <c r="J278" s="14" t="s">
        <v>9</v>
      </c>
      <c r="K278" s="14" t="s">
        <v>18</v>
      </c>
      <c r="L278" s="15" t="s">
        <v>37</v>
      </c>
    </row>
    <row r="279" spans="1:12" ht="18.5" x14ac:dyDescent="0.45">
      <c r="A279" s="5" t="s">
        <v>321</v>
      </c>
      <c r="B279" s="11" t="s">
        <v>39</v>
      </c>
      <c r="C279" s="12">
        <v>44474</v>
      </c>
      <c r="D279" s="12">
        <f t="shared" ref="D279" si="277">C279+3</f>
        <v>44477</v>
      </c>
      <c r="E279" s="11">
        <f t="shared" si="256"/>
        <v>3</v>
      </c>
      <c r="F279" s="11" t="s">
        <v>3</v>
      </c>
      <c r="G279" s="11">
        <v>142</v>
      </c>
      <c r="H279" s="11" t="s">
        <v>7</v>
      </c>
      <c r="I279" s="13">
        <v>1200</v>
      </c>
      <c r="J279" s="14" t="s">
        <v>9</v>
      </c>
      <c r="K279" s="14" t="s">
        <v>19</v>
      </c>
      <c r="L279" s="15" t="s">
        <v>40</v>
      </c>
    </row>
    <row r="280" spans="1:12" ht="18.5" x14ac:dyDescent="0.45">
      <c r="A280" s="5" t="s">
        <v>322</v>
      </c>
      <c r="B280" s="11" t="s">
        <v>42</v>
      </c>
      <c r="C280" s="12">
        <v>44475</v>
      </c>
      <c r="D280" s="12">
        <f t="shared" ref="D280" si="278">C280+4</f>
        <v>44479</v>
      </c>
      <c r="E280" s="11">
        <f t="shared" si="256"/>
        <v>4</v>
      </c>
      <c r="F280" s="11" t="s">
        <v>3</v>
      </c>
      <c r="G280" s="11">
        <v>144</v>
      </c>
      <c r="H280" s="11" t="s">
        <v>8</v>
      </c>
      <c r="I280" s="13">
        <v>1500</v>
      </c>
      <c r="J280" s="14" t="s">
        <v>9</v>
      </c>
      <c r="K280" s="14" t="s">
        <v>13</v>
      </c>
      <c r="L280" s="15" t="s">
        <v>43</v>
      </c>
    </row>
    <row r="281" spans="1:12" ht="18.5" x14ac:dyDescent="0.45">
      <c r="A281" s="5" t="s">
        <v>323</v>
      </c>
      <c r="B281" s="11" t="s">
        <v>45</v>
      </c>
      <c r="C281" s="12">
        <v>44476</v>
      </c>
      <c r="D281" s="12">
        <f t="shared" ref="D281" si="279">C281+1</f>
        <v>44477</v>
      </c>
      <c r="E281" s="11">
        <f t="shared" si="256"/>
        <v>1</v>
      </c>
      <c r="F281" s="11" t="s">
        <v>2</v>
      </c>
      <c r="G281" s="11">
        <v>146</v>
      </c>
      <c r="H281" s="11" t="s">
        <v>7</v>
      </c>
      <c r="I281" s="13">
        <v>300</v>
      </c>
      <c r="J281" s="14" t="s">
        <v>9</v>
      </c>
      <c r="K281" s="14" t="s">
        <v>12</v>
      </c>
      <c r="L281" s="15" t="s">
        <v>37</v>
      </c>
    </row>
    <row r="282" spans="1:12" ht="18.5" x14ac:dyDescent="0.45">
      <c r="A282" s="5" t="s">
        <v>324</v>
      </c>
      <c r="B282" s="11" t="s">
        <v>47</v>
      </c>
      <c r="C282" s="12">
        <v>44477</v>
      </c>
      <c r="D282" s="12">
        <f t="shared" ref="D282" si="280">C282+2</f>
        <v>44479</v>
      </c>
      <c r="E282" s="11">
        <f t="shared" si="256"/>
        <v>2</v>
      </c>
      <c r="F282" s="11" t="s">
        <v>2</v>
      </c>
      <c r="G282" s="11">
        <v>148</v>
      </c>
      <c r="H282" s="11" t="s">
        <v>6</v>
      </c>
      <c r="I282" s="13">
        <v>190</v>
      </c>
      <c r="J282" s="14" t="s">
        <v>9</v>
      </c>
      <c r="K282" s="14" t="s">
        <v>12</v>
      </c>
      <c r="L282" s="15" t="s">
        <v>40</v>
      </c>
    </row>
    <row r="283" spans="1:12" ht="18.5" x14ac:dyDescent="0.45">
      <c r="A283" s="5" t="s">
        <v>325</v>
      </c>
      <c r="B283" s="11" t="s">
        <v>49</v>
      </c>
      <c r="C283" s="12">
        <v>44478</v>
      </c>
      <c r="D283" s="12">
        <f t="shared" ref="D283" si="281">C283+7</f>
        <v>44485</v>
      </c>
      <c r="E283" s="11">
        <f t="shared" si="256"/>
        <v>7</v>
      </c>
      <c r="F283" s="11" t="s">
        <v>3</v>
      </c>
      <c r="G283" s="11">
        <v>150</v>
      </c>
      <c r="H283" s="11" t="s">
        <v>6</v>
      </c>
      <c r="I283" s="13">
        <v>210</v>
      </c>
      <c r="J283" s="14" t="s">
        <v>9</v>
      </c>
      <c r="K283" s="14" t="s">
        <v>13</v>
      </c>
      <c r="L283" s="15" t="s">
        <v>43</v>
      </c>
    </row>
    <row r="284" spans="1:12" ht="18.5" x14ac:dyDescent="0.45">
      <c r="A284" s="5" t="s">
        <v>326</v>
      </c>
      <c r="B284" s="11" t="s">
        <v>49</v>
      </c>
      <c r="C284" s="12">
        <v>44479</v>
      </c>
      <c r="D284" s="12">
        <f t="shared" ref="D284" si="282">C284+3</f>
        <v>44482</v>
      </c>
      <c r="E284" s="11">
        <f t="shared" si="256"/>
        <v>3</v>
      </c>
      <c r="F284" s="11" t="s">
        <v>2</v>
      </c>
      <c r="G284" s="11">
        <v>152</v>
      </c>
      <c r="H284" s="11" t="s">
        <v>8</v>
      </c>
      <c r="I284" s="13">
        <v>2100</v>
      </c>
      <c r="J284" s="14" t="s">
        <v>9</v>
      </c>
      <c r="K284" s="14" t="s">
        <v>14</v>
      </c>
      <c r="L284" s="15" t="s">
        <v>37</v>
      </c>
    </row>
    <row r="285" spans="1:12" ht="18.5" x14ac:dyDescent="0.45">
      <c r="A285" s="5" t="s">
        <v>327</v>
      </c>
      <c r="B285" s="11" t="s">
        <v>36</v>
      </c>
      <c r="C285" s="12">
        <v>44480</v>
      </c>
      <c r="D285" s="12">
        <f t="shared" ref="D285" si="283">C285+4</f>
        <v>44484</v>
      </c>
      <c r="E285" s="11">
        <f t="shared" si="256"/>
        <v>4</v>
      </c>
      <c r="F285" s="11" t="s">
        <v>2</v>
      </c>
      <c r="G285" s="11">
        <v>154</v>
      </c>
      <c r="H285" s="11" t="s">
        <v>7</v>
      </c>
      <c r="I285" s="13">
        <v>1200</v>
      </c>
      <c r="J285" s="14" t="s">
        <v>9</v>
      </c>
      <c r="K285" s="14" t="s">
        <v>15</v>
      </c>
      <c r="L285" s="15" t="s">
        <v>40</v>
      </c>
    </row>
    <row r="286" spans="1:12" ht="18.5" x14ac:dyDescent="0.45">
      <c r="A286" s="5" t="s">
        <v>328</v>
      </c>
      <c r="B286" s="11" t="s">
        <v>39</v>
      </c>
      <c r="C286" s="12">
        <v>44481</v>
      </c>
      <c r="D286" s="12">
        <f t="shared" ref="D286" si="284">C286+1</f>
        <v>44482</v>
      </c>
      <c r="E286" s="11">
        <f t="shared" si="256"/>
        <v>1</v>
      </c>
      <c r="F286" s="11" t="s">
        <v>2</v>
      </c>
      <c r="G286" s="11">
        <v>156</v>
      </c>
      <c r="H286" s="11" t="s">
        <v>8</v>
      </c>
      <c r="I286" s="13">
        <v>1500</v>
      </c>
      <c r="J286" s="14" t="s">
        <v>9</v>
      </c>
      <c r="K286" s="14" t="s">
        <v>16</v>
      </c>
      <c r="L286" s="15" t="s">
        <v>43</v>
      </c>
    </row>
    <row r="287" spans="1:12" ht="18.5" x14ac:dyDescent="0.45">
      <c r="A287" s="5" t="s">
        <v>329</v>
      </c>
      <c r="B287" s="11" t="s">
        <v>42</v>
      </c>
      <c r="C287" s="12">
        <v>44482</v>
      </c>
      <c r="D287" s="12">
        <f t="shared" ref="D287" si="285">C287+2</f>
        <v>44484</v>
      </c>
      <c r="E287" s="11">
        <f t="shared" si="256"/>
        <v>2</v>
      </c>
      <c r="F287" s="11" t="s">
        <v>2</v>
      </c>
      <c r="G287" s="11">
        <v>158</v>
      </c>
      <c r="H287" s="11" t="s">
        <v>7</v>
      </c>
      <c r="I287" s="13">
        <v>300</v>
      </c>
      <c r="J287" s="14" t="s">
        <v>9</v>
      </c>
      <c r="K287" s="14" t="s">
        <v>17</v>
      </c>
      <c r="L287" s="15" t="s">
        <v>37</v>
      </c>
    </row>
    <row r="288" spans="1:12" ht="18.5" x14ac:dyDescent="0.45">
      <c r="A288" s="5" t="s">
        <v>330</v>
      </c>
      <c r="B288" s="11" t="s">
        <v>45</v>
      </c>
      <c r="C288" s="12">
        <v>44483</v>
      </c>
      <c r="D288" s="12">
        <f t="shared" ref="D288" si="286">C288+7</f>
        <v>44490</v>
      </c>
      <c r="E288" s="11">
        <f t="shared" si="256"/>
        <v>7</v>
      </c>
      <c r="F288" s="11" t="s">
        <v>2</v>
      </c>
      <c r="G288" s="11">
        <v>160</v>
      </c>
      <c r="H288" s="11" t="s">
        <v>6</v>
      </c>
      <c r="I288" s="13">
        <v>190</v>
      </c>
      <c r="J288" s="14" t="s">
        <v>9</v>
      </c>
      <c r="K288" s="14" t="s">
        <v>18</v>
      </c>
      <c r="L288" s="15" t="s">
        <v>40</v>
      </c>
    </row>
    <row r="289" spans="1:12" ht="18.5" x14ac:dyDescent="0.45">
      <c r="A289" s="5" t="s">
        <v>331</v>
      </c>
      <c r="B289" s="11" t="s">
        <v>47</v>
      </c>
      <c r="C289" s="12">
        <v>44484</v>
      </c>
      <c r="D289" s="12">
        <f t="shared" ref="D289" si="287">C289+3</f>
        <v>44487</v>
      </c>
      <c r="E289" s="11">
        <f t="shared" si="256"/>
        <v>3</v>
      </c>
      <c r="F289" s="11" t="s">
        <v>2</v>
      </c>
      <c r="G289" s="11">
        <v>162</v>
      </c>
      <c r="H289" s="11" t="s">
        <v>6</v>
      </c>
      <c r="I289" s="13">
        <v>210</v>
      </c>
      <c r="J289" s="14" t="s">
        <v>9</v>
      </c>
      <c r="K289" s="14" t="s">
        <v>19</v>
      </c>
      <c r="L289" s="15" t="s">
        <v>43</v>
      </c>
    </row>
    <row r="290" spans="1:12" ht="18.5" x14ac:dyDescent="0.45">
      <c r="A290" s="5" t="s">
        <v>332</v>
      </c>
      <c r="B290" s="11" t="s">
        <v>49</v>
      </c>
      <c r="C290" s="12">
        <v>44485</v>
      </c>
      <c r="D290" s="12">
        <f t="shared" ref="D290" si="288">C290+4</f>
        <v>44489</v>
      </c>
      <c r="E290" s="11">
        <f t="shared" si="256"/>
        <v>4</v>
      </c>
      <c r="F290" s="11" t="s">
        <v>2</v>
      </c>
      <c r="G290" s="11">
        <v>164</v>
      </c>
      <c r="H290" s="11" t="s">
        <v>8</v>
      </c>
      <c r="I290" s="13">
        <v>2100</v>
      </c>
      <c r="J290" s="14" t="s">
        <v>9</v>
      </c>
      <c r="K290" s="14" t="s">
        <v>13</v>
      </c>
      <c r="L290" s="15" t="s">
        <v>37</v>
      </c>
    </row>
    <row r="291" spans="1:12" ht="18.5" x14ac:dyDescent="0.45">
      <c r="A291" s="5" t="s">
        <v>333</v>
      </c>
      <c r="B291" s="11" t="s">
        <v>36</v>
      </c>
      <c r="C291" s="12">
        <v>44486</v>
      </c>
      <c r="D291" s="12">
        <f t="shared" ref="D291" si="289">C291+1</f>
        <v>44487</v>
      </c>
      <c r="E291" s="11">
        <f t="shared" si="256"/>
        <v>1</v>
      </c>
      <c r="F291" s="11" t="s">
        <v>2</v>
      </c>
      <c r="G291" s="11">
        <v>166</v>
      </c>
      <c r="H291" s="11" t="s">
        <v>7</v>
      </c>
      <c r="I291" s="13">
        <v>1200</v>
      </c>
      <c r="J291" s="14" t="s">
        <v>9</v>
      </c>
      <c r="K291" s="14" t="s">
        <v>12</v>
      </c>
      <c r="L291" s="15" t="s">
        <v>40</v>
      </c>
    </row>
    <row r="292" spans="1:12" ht="18.5" x14ac:dyDescent="0.45">
      <c r="A292" s="5" t="s">
        <v>334</v>
      </c>
      <c r="B292" s="11" t="s">
        <v>39</v>
      </c>
      <c r="C292" s="12">
        <v>44487</v>
      </c>
      <c r="D292" s="12">
        <f t="shared" ref="D292" si="290">C292+2</f>
        <v>44489</v>
      </c>
      <c r="E292" s="11">
        <f t="shared" si="256"/>
        <v>2</v>
      </c>
      <c r="F292" s="11" t="s">
        <v>3</v>
      </c>
      <c r="G292" s="11">
        <v>168</v>
      </c>
      <c r="H292" s="11" t="s">
        <v>8</v>
      </c>
      <c r="I292" s="13">
        <v>1500</v>
      </c>
      <c r="J292" s="14" t="s">
        <v>9</v>
      </c>
      <c r="K292" s="14" t="s">
        <v>12</v>
      </c>
      <c r="L292" s="15" t="s">
        <v>43</v>
      </c>
    </row>
    <row r="293" spans="1:12" ht="18.5" x14ac:dyDescent="0.45">
      <c r="A293" s="5" t="s">
        <v>335</v>
      </c>
      <c r="B293" s="11" t="s">
        <v>42</v>
      </c>
      <c r="C293" s="12">
        <v>44488</v>
      </c>
      <c r="D293" s="12">
        <f t="shared" ref="D293" si="291">C293+7</f>
        <v>44495</v>
      </c>
      <c r="E293" s="11">
        <f t="shared" si="256"/>
        <v>7</v>
      </c>
      <c r="F293" s="11" t="s">
        <v>2</v>
      </c>
      <c r="G293" s="11">
        <v>170</v>
      </c>
      <c r="H293" s="11" t="s">
        <v>7</v>
      </c>
      <c r="I293" s="13">
        <v>300</v>
      </c>
      <c r="J293" s="14" t="s">
        <v>9</v>
      </c>
      <c r="K293" s="14" t="s">
        <v>13</v>
      </c>
      <c r="L293" s="15" t="s">
        <v>37</v>
      </c>
    </row>
    <row r="294" spans="1:12" ht="18.5" x14ac:dyDescent="0.45">
      <c r="A294" s="5" t="s">
        <v>336</v>
      </c>
      <c r="B294" s="11" t="s">
        <v>45</v>
      </c>
      <c r="C294" s="12">
        <v>44489</v>
      </c>
      <c r="D294" s="12">
        <f t="shared" ref="D294" si="292">C294+3</f>
        <v>44492</v>
      </c>
      <c r="E294" s="11">
        <f t="shared" si="256"/>
        <v>3</v>
      </c>
      <c r="F294" s="11" t="s">
        <v>3</v>
      </c>
      <c r="G294" s="11">
        <v>172</v>
      </c>
      <c r="H294" s="11" t="s">
        <v>8</v>
      </c>
      <c r="I294" s="13">
        <v>1500</v>
      </c>
      <c r="J294" s="14" t="s">
        <v>9</v>
      </c>
      <c r="K294" s="14" t="s">
        <v>14</v>
      </c>
      <c r="L294" s="15" t="s">
        <v>40</v>
      </c>
    </row>
    <row r="295" spans="1:12" ht="18.5" x14ac:dyDescent="0.45">
      <c r="A295" s="5" t="s">
        <v>337</v>
      </c>
      <c r="B295" s="11" t="s">
        <v>47</v>
      </c>
      <c r="C295" s="12">
        <v>44490</v>
      </c>
      <c r="D295" s="12">
        <f t="shared" ref="D295" si="293">C295+4</f>
        <v>44494</v>
      </c>
      <c r="E295" s="11">
        <f t="shared" si="256"/>
        <v>4</v>
      </c>
      <c r="F295" s="11" t="s">
        <v>2</v>
      </c>
      <c r="G295" s="11">
        <v>174</v>
      </c>
      <c r="H295" s="11" t="s">
        <v>7</v>
      </c>
      <c r="I295" s="13">
        <v>300</v>
      </c>
      <c r="J295" s="14" t="s">
        <v>9</v>
      </c>
      <c r="K295" s="14" t="s">
        <v>15</v>
      </c>
      <c r="L295" s="15" t="s">
        <v>43</v>
      </c>
    </row>
    <row r="296" spans="1:12" ht="18.5" x14ac:dyDescent="0.45">
      <c r="A296" s="5" t="s">
        <v>338</v>
      </c>
      <c r="B296" s="11" t="s">
        <v>49</v>
      </c>
      <c r="C296" s="12">
        <v>44491</v>
      </c>
      <c r="D296" s="12">
        <f t="shared" ref="D296" si="294">C296+1</f>
        <v>44492</v>
      </c>
      <c r="E296" s="11">
        <f t="shared" si="256"/>
        <v>1</v>
      </c>
      <c r="F296" s="11" t="s">
        <v>2</v>
      </c>
      <c r="G296" s="11">
        <v>176</v>
      </c>
      <c r="H296" s="11" t="s">
        <v>8</v>
      </c>
      <c r="I296" s="13">
        <v>1500</v>
      </c>
      <c r="J296" s="14" t="s">
        <v>9</v>
      </c>
      <c r="K296" s="14" t="s">
        <v>16</v>
      </c>
      <c r="L296" s="15" t="s">
        <v>37</v>
      </c>
    </row>
    <row r="297" spans="1:12" ht="18.5" x14ac:dyDescent="0.45">
      <c r="A297" s="5" t="s">
        <v>339</v>
      </c>
      <c r="B297" s="11" t="s">
        <v>49</v>
      </c>
      <c r="C297" s="12">
        <v>44492</v>
      </c>
      <c r="D297" s="12">
        <f t="shared" ref="D297" si="295">C297+2</f>
        <v>44494</v>
      </c>
      <c r="E297" s="11">
        <f t="shared" si="256"/>
        <v>2</v>
      </c>
      <c r="F297" s="11" t="s">
        <v>2</v>
      </c>
      <c r="G297" s="11">
        <v>178</v>
      </c>
      <c r="H297" s="11" t="s">
        <v>7</v>
      </c>
      <c r="I297" s="13">
        <v>300</v>
      </c>
      <c r="J297" s="14" t="s">
        <v>9</v>
      </c>
      <c r="K297" s="14" t="s">
        <v>17</v>
      </c>
      <c r="L297" s="15" t="s">
        <v>40</v>
      </c>
    </row>
    <row r="298" spans="1:12" ht="18.5" x14ac:dyDescent="0.45">
      <c r="A298" s="5" t="s">
        <v>340</v>
      </c>
      <c r="B298" s="11" t="s">
        <v>36</v>
      </c>
      <c r="C298" s="12">
        <v>44493</v>
      </c>
      <c r="D298" s="12">
        <f t="shared" ref="D298" si="296">C298+7</f>
        <v>44500</v>
      </c>
      <c r="E298" s="11">
        <f t="shared" si="256"/>
        <v>7</v>
      </c>
      <c r="F298" s="11" t="s">
        <v>2</v>
      </c>
      <c r="G298" s="11">
        <v>180</v>
      </c>
      <c r="H298" s="11" t="s">
        <v>8</v>
      </c>
      <c r="I298" s="13">
        <v>1500</v>
      </c>
      <c r="J298" s="14" t="s">
        <v>9</v>
      </c>
      <c r="K298" s="14" t="s">
        <v>18</v>
      </c>
      <c r="L298" s="15" t="s">
        <v>43</v>
      </c>
    </row>
    <row r="299" spans="1:12" ht="18.5" x14ac:dyDescent="0.45">
      <c r="A299" s="5" t="s">
        <v>341</v>
      </c>
      <c r="B299" s="11" t="s">
        <v>36</v>
      </c>
      <c r="C299" s="12">
        <v>44494</v>
      </c>
      <c r="D299" s="12">
        <f t="shared" ref="D299" si="297">C299+3</f>
        <v>44497</v>
      </c>
      <c r="E299" s="11">
        <f t="shared" si="256"/>
        <v>3</v>
      </c>
      <c r="F299" s="11" t="s">
        <v>3</v>
      </c>
      <c r="G299" s="11">
        <v>182</v>
      </c>
      <c r="H299" s="11" t="s">
        <v>7</v>
      </c>
      <c r="I299" s="13">
        <v>300</v>
      </c>
      <c r="J299" s="14" t="s">
        <v>9</v>
      </c>
      <c r="K299" s="14" t="s">
        <v>19</v>
      </c>
      <c r="L299" s="15" t="s">
        <v>37</v>
      </c>
    </row>
    <row r="300" spans="1:12" ht="18.5" x14ac:dyDescent="0.45">
      <c r="A300" s="5" t="s">
        <v>342</v>
      </c>
      <c r="B300" s="11" t="s">
        <v>36</v>
      </c>
      <c r="C300" s="12">
        <v>44495</v>
      </c>
      <c r="D300" s="12">
        <f t="shared" ref="D300" si="298">C300+4</f>
        <v>44499</v>
      </c>
      <c r="E300" s="11">
        <f t="shared" si="256"/>
        <v>4</v>
      </c>
      <c r="F300" s="11" t="s">
        <v>4</v>
      </c>
      <c r="G300" s="11">
        <v>184</v>
      </c>
      <c r="H300" s="11" t="s">
        <v>8</v>
      </c>
      <c r="I300" s="13">
        <v>1500</v>
      </c>
      <c r="J300" s="14" t="s">
        <v>9</v>
      </c>
      <c r="K300" s="14" t="s">
        <v>13</v>
      </c>
      <c r="L300" s="15" t="s">
        <v>40</v>
      </c>
    </row>
    <row r="301" spans="1:12" ht="18.5" x14ac:dyDescent="0.45">
      <c r="A301" s="5" t="s">
        <v>343</v>
      </c>
      <c r="B301" s="11" t="s">
        <v>36</v>
      </c>
      <c r="C301" s="12">
        <v>44496</v>
      </c>
      <c r="D301" s="12">
        <f t="shared" ref="D301" si="299">C301+1</f>
        <v>44497</v>
      </c>
      <c r="E301" s="11">
        <f t="shared" si="256"/>
        <v>1</v>
      </c>
      <c r="F301" s="11" t="s">
        <v>5</v>
      </c>
      <c r="G301" s="11">
        <v>186</v>
      </c>
      <c r="H301" s="11" t="s">
        <v>7</v>
      </c>
      <c r="I301" s="13">
        <v>300</v>
      </c>
      <c r="J301" s="14" t="s">
        <v>9</v>
      </c>
      <c r="K301" s="14" t="s">
        <v>12</v>
      </c>
      <c r="L301" s="15" t="s">
        <v>43</v>
      </c>
    </row>
    <row r="302" spans="1:12" ht="18.5" x14ac:dyDescent="0.45">
      <c r="A302" s="5" t="s">
        <v>344</v>
      </c>
      <c r="B302" s="11" t="s">
        <v>36</v>
      </c>
      <c r="C302" s="12">
        <v>44497</v>
      </c>
      <c r="D302" s="12">
        <f t="shared" ref="D302" si="300">C302+2</f>
        <v>44499</v>
      </c>
      <c r="E302" s="11">
        <f t="shared" si="256"/>
        <v>2</v>
      </c>
      <c r="F302" s="11" t="s">
        <v>2</v>
      </c>
      <c r="G302" s="11">
        <v>188</v>
      </c>
      <c r="H302" s="11" t="s">
        <v>8</v>
      </c>
      <c r="I302" s="13">
        <v>1500</v>
      </c>
      <c r="J302" s="14" t="s">
        <v>9</v>
      </c>
      <c r="K302" s="14" t="s">
        <v>12</v>
      </c>
      <c r="L302" s="15" t="s">
        <v>37</v>
      </c>
    </row>
    <row r="303" spans="1:12" ht="18.5" x14ac:dyDescent="0.45">
      <c r="A303" s="5" t="s">
        <v>345</v>
      </c>
      <c r="B303" s="11" t="s">
        <v>36</v>
      </c>
      <c r="C303" s="12">
        <v>44498</v>
      </c>
      <c r="D303" s="12">
        <f t="shared" ref="D303" si="301">C303+7</f>
        <v>44505</v>
      </c>
      <c r="E303" s="11">
        <f t="shared" si="256"/>
        <v>7</v>
      </c>
      <c r="F303" s="11" t="s">
        <v>3</v>
      </c>
      <c r="G303" s="11">
        <v>190</v>
      </c>
      <c r="H303" s="11" t="s">
        <v>8</v>
      </c>
      <c r="I303" s="13">
        <v>2100</v>
      </c>
      <c r="J303" s="14" t="s">
        <v>9</v>
      </c>
      <c r="K303" s="14" t="s">
        <v>13</v>
      </c>
      <c r="L303" s="15" t="s">
        <v>40</v>
      </c>
    </row>
    <row r="304" spans="1:12" ht="18.5" x14ac:dyDescent="0.45">
      <c r="A304" s="5" t="s">
        <v>346</v>
      </c>
      <c r="B304" s="11" t="s">
        <v>36</v>
      </c>
      <c r="C304" s="12">
        <v>44499</v>
      </c>
      <c r="D304" s="12">
        <f t="shared" ref="D304" si="302">C304+3</f>
        <v>44502</v>
      </c>
      <c r="E304" s="11">
        <f t="shared" si="256"/>
        <v>3</v>
      </c>
      <c r="F304" s="11" t="s">
        <v>4</v>
      </c>
      <c r="G304" s="11">
        <v>192</v>
      </c>
      <c r="H304" s="11" t="s">
        <v>7</v>
      </c>
      <c r="I304" s="13">
        <v>1200</v>
      </c>
      <c r="J304" s="14" t="s">
        <v>9</v>
      </c>
      <c r="K304" s="14" t="s">
        <v>14</v>
      </c>
      <c r="L304" s="15" t="s">
        <v>43</v>
      </c>
    </row>
    <row r="305" spans="1:12" ht="18.5" x14ac:dyDescent="0.45">
      <c r="A305" s="5" t="s">
        <v>347</v>
      </c>
      <c r="B305" s="11" t="s">
        <v>36</v>
      </c>
      <c r="C305" s="12">
        <v>44500</v>
      </c>
      <c r="D305" s="12">
        <f t="shared" ref="D305" si="303">C305+4</f>
        <v>44504</v>
      </c>
      <c r="E305" s="11">
        <f t="shared" si="256"/>
        <v>4</v>
      </c>
      <c r="F305" s="11" t="s">
        <v>5</v>
      </c>
      <c r="G305" s="11">
        <v>194</v>
      </c>
      <c r="H305" s="11" t="s">
        <v>8</v>
      </c>
      <c r="I305" s="13">
        <v>1500</v>
      </c>
      <c r="J305" s="14" t="s">
        <v>9</v>
      </c>
      <c r="K305" s="14" t="s">
        <v>15</v>
      </c>
      <c r="L305" s="15" t="s">
        <v>37</v>
      </c>
    </row>
    <row r="306" spans="1:12" ht="18.5" x14ac:dyDescent="0.45">
      <c r="A306" s="5" t="s">
        <v>348</v>
      </c>
      <c r="B306" s="11" t="s">
        <v>39</v>
      </c>
      <c r="C306" s="12">
        <v>44501</v>
      </c>
      <c r="D306" s="12">
        <f t="shared" ref="D306" si="304">C306+1</f>
        <v>44502</v>
      </c>
      <c r="E306" s="11">
        <f t="shared" si="256"/>
        <v>1</v>
      </c>
      <c r="F306" s="11" t="s">
        <v>3</v>
      </c>
      <c r="G306" s="11">
        <v>196</v>
      </c>
      <c r="H306" s="11" t="s">
        <v>7</v>
      </c>
      <c r="I306" s="13">
        <v>300</v>
      </c>
      <c r="J306" s="14" t="s">
        <v>9</v>
      </c>
      <c r="K306" s="14" t="s">
        <v>16</v>
      </c>
      <c r="L306" s="15" t="s">
        <v>40</v>
      </c>
    </row>
    <row r="307" spans="1:12" ht="18.5" x14ac:dyDescent="0.45">
      <c r="A307" s="5" t="s">
        <v>349</v>
      </c>
      <c r="B307" s="11" t="s">
        <v>39</v>
      </c>
      <c r="C307" s="12">
        <v>44502</v>
      </c>
      <c r="D307" s="12">
        <f t="shared" ref="D307" si="305">C307+2</f>
        <v>44504</v>
      </c>
      <c r="E307" s="11">
        <f t="shared" si="256"/>
        <v>2</v>
      </c>
      <c r="F307" s="11" t="s">
        <v>2</v>
      </c>
      <c r="G307" s="11">
        <v>198</v>
      </c>
      <c r="H307" s="11" t="s">
        <v>6</v>
      </c>
      <c r="I307" s="13">
        <v>190</v>
      </c>
      <c r="J307" s="14" t="s">
        <v>9</v>
      </c>
      <c r="K307" s="14" t="s">
        <v>17</v>
      </c>
      <c r="L307" s="15" t="s">
        <v>43</v>
      </c>
    </row>
    <row r="308" spans="1:12" ht="18.5" x14ac:dyDescent="0.45">
      <c r="A308" s="5" t="s">
        <v>350</v>
      </c>
      <c r="B308" s="11" t="s">
        <v>39</v>
      </c>
      <c r="C308" s="12">
        <v>44503</v>
      </c>
      <c r="D308" s="12">
        <f t="shared" ref="D308" si="306">C308+7</f>
        <v>44510</v>
      </c>
      <c r="E308" s="11">
        <f t="shared" si="256"/>
        <v>7</v>
      </c>
      <c r="F308" s="11" t="s">
        <v>4</v>
      </c>
      <c r="G308" s="11">
        <v>200</v>
      </c>
      <c r="H308" s="11" t="s">
        <v>6</v>
      </c>
      <c r="I308" s="13">
        <v>190</v>
      </c>
      <c r="J308" s="14" t="s">
        <v>9</v>
      </c>
      <c r="K308" s="14" t="s">
        <v>18</v>
      </c>
      <c r="L308" s="15" t="s">
        <v>37</v>
      </c>
    </row>
    <row r="309" spans="1:12" ht="18.5" x14ac:dyDescent="0.45">
      <c r="A309" s="5" t="s">
        <v>351</v>
      </c>
      <c r="B309" s="11" t="s">
        <v>39</v>
      </c>
      <c r="C309" s="12">
        <v>44504</v>
      </c>
      <c r="D309" s="12">
        <f t="shared" ref="D309" si="307">C309+3</f>
        <v>44507</v>
      </c>
      <c r="E309" s="11">
        <f t="shared" si="256"/>
        <v>3</v>
      </c>
      <c r="F309" s="11" t="s">
        <v>5</v>
      </c>
      <c r="G309" s="11">
        <v>202</v>
      </c>
      <c r="H309" s="11" t="s">
        <v>6</v>
      </c>
      <c r="I309" s="13">
        <v>190</v>
      </c>
      <c r="J309" s="14" t="s">
        <v>9</v>
      </c>
      <c r="K309" s="14" t="s">
        <v>19</v>
      </c>
      <c r="L309" s="15" t="s">
        <v>40</v>
      </c>
    </row>
    <row r="310" spans="1:12" ht="18.5" x14ac:dyDescent="0.45">
      <c r="A310" s="5" t="s">
        <v>352</v>
      </c>
      <c r="B310" s="11" t="s">
        <v>39</v>
      </c>
      <c r="C310" s="12">
        <v>44505</v>
      </c>
      <c r="D310" s="12">
        <f t="shared" ref="D310" si="308">C310+4</f>
        <v>44509</v>
      </c>
      <c r="E310" s="11">
        <f t="shared" si="256"/>
        <v>4</v>
      </c>
      <c r="F310" s="11" t="s">
        <v>3</v>
      </c>
      <c r="G310" s="11">
        <v>204</v>
      </c>
      <c r="H310" s="11" t="s">
        <v>6</v>
      </c>
      <c r="I310" s="13">
        <v>190</v>
      </c>
      <c r="J310" s="14" t="s">
        <v>9</v>
      </c>
      <c r="K310" s="14" t="s">
        <v>13</v>
      </c>
      <c r="L310" s="15" t="s">
        <v>43</v>
      </c>
    </row>
    <row r="311" spans="1:12" ht="18.5" x14ac:dyDescent="0.45">
      <c r="A311" s="5" t="s">
        <v>353</v>
      </c>
      <c r="B311" s="11" t="s">
        <v>39</v>
      </c>
      <c r="C311" s="12">
        <v>44506</v>
      </c>
      <c r="D311" s="12">
        <f t="shared" ref="D311" si="309">C311+1</f>
        <v>44507</v>
      </c>
      <c r="E311" s="11">
        <f t="shared" si="256"/>
        <v>1</v>
      </c>
      <c r="F311" s="11" t="s">
        <v>2</v>
      </c>
      <c r="G311" s="11">
        <v>206</v>
      </c>
      <c r="H311" s="11" t="s">
        <v>6</v>
      </c>
      <c r="I311" s="13">
        <v>190</v>
      </c>
      <c r="J311" s="14" t="s">
        <v>9</v>
      </c>
      <c r="K311" s="14" t="s">
        <v>12</v>
      </c>
      <c r="L311" s="15" t="s">
        <v>37</v>
      </c>
    </row>
    <row r="312" spans="1:12" ht="18.5" x14ac:dyDescent="0.45">
      <c r="A312" s="5" t="s">
        <v>354</v>
      </c>
      <c r="B312" s="11" t="s">
        <v>39</v>
      </c>
      <c r="C312" s="12">
        <v>44507</v>
      </c>
      <c r="D312" s="12">
        <f t="shared" ref="D312" si="310">C312+2</f>
        <v>44509</v>
      </c>
      <c r="E312" s="11">
        <f t="shared" si="256"/>
        <v>2</v>
      </c>
      <c r="F312" s="11" t="s">
        <v>4</v>
      </c>
      <c r="G312" s="11">
        <v>208</v>
      </c>
      <c r="H312" s="11" t="s">
        <v>6</v>
      </c>
      <c r="I312" s="13">
        <v>190</v>
      </c>
      <c r="J312" s="14" t="s">
        <v>9</v>
      </c>
      <c r="K312" s="14" t="s">
        <v>12</v>
      </c>
      <c r="L312" s="15" t="s">
        <v>40</v>
      </c>
    </row>
    <row r="313" spans="1:12" ht="18.5" x14ac:dyDescent="0.45">
      <c r="A313" s="5" t="s">
        <v>355</v>
      </c>
      <c r="B313" s="11" t="s">
        <v>39</v>
      </c>
      <c r="C313" s="12">
        <v>44508</v>
      </c>
      <c r="D313" s="12">
        <f t="shared" ref="D313" si="311">C313+7</f>
        <v>44515</v>
      </c>
      <c r="E313" s="11">
        <f t="shared" si="256"/>
        <v>7</v>
      </c>
      <c r="F313" s="11" t="s">
        <v>5</v>
      </c>
      <c r="G313" s="11">
        <v>210</v>
      </c>
      <c r="H313" s="11" t="s">
        <v>6</v>
      </c>
      <c r="I313" s="13">
        <v>190</v>
      </c>
      <c r="J313" s="14" t="s">
        <v>9</v>
      </c>
      <c r="K313" s="14" t="s">
        <v>13</v>
      </c>
      <c r="L313" s="15" t="s">
        <v>43</v>
      </c>
    </row>
    <row r="314" spans="1:12" ht="18.5" x14ac:dyDescent="0.45">
      <c r="A314" s="5" t="s">
        <v>356</v>
      </c>
      <c r="B314" s="11" t="s">
        <v>42</v>
      </c>
      <c r="C314" s="12">
        <v>44509</v>
      </c>
      <c r="D314" s="12">
        <f t="shared" ref="D314" si="312">C314+3</f>
        <v>44512</v>
      </c>
      <c r="E314" s="11">
        <f t="shared" si="256"/>
        <v>3</v>
      </c>
      <c r="F314" s="11" t="s">
        <v>5</v>
      </c>
      <c r="G314" s="11">
        <v>212</v>
      </c>
      <c r="H314" s="11" t="s">
        <v>6</v>
      </c>
      <c r="I314" s="13">
        <v>190</v>
      </c>
      <c r="J314" s="14" t="s">
        <v>9</v>
      </c>
      <c r="K314" s="14" t="s">
        <v>14</v>
      </c>
      <c r="L314" s="15" t="s">
        <v>37</v>
      </c>
    </row>
    <row r="315" spans="1:12" ht="18.5" x14ac:dyDescent="0.45">
      <c r="A315" s="5" t="s">
        <v>357</v>
      </c>
      <c r="B315" s="11" t="s">
        <v>45</v>
      </c>
      <c r="C315" s="12">
        <v>44510</v>
      </c>
      <c r="D315" s="12">
        <f t="shared" ref="D315" si="313">C315+4</f>
        <v>44514</v>
      </c>
      <c r="E315" s="11">
        <f t="shared" si="256"/>
        <v>4</v>
      </c>
      <c r="F315" s="11" t="s">
        <v>5</v>
      </c>
      <c r="G315" s="11">
        <v>214</v>
      </c>
      <c r="H315" s="11" t="s">
        <v>6</v>
      </c>
      <c r="I315" s="13">
        <v>190</v>
      </c>
      <c r="J315" s="14" t="s">
        <v>9</v>
      </c>
      <c r="K315" s="14" t="s">
        <v>15</v>
      </c>
      <c r="L315" s="15" t="s">
        <v>40</v>
      </c>
    </row>
    <row r="316" spans="1:12" ht="18.5" x14ac:dyDescent="0.45">
      <c r="A316" s="5" t="s">
        <v>358</v>
      </c>
      <c r="B316" s="11" t="s">
        <v>47</v>
      </c>
      <c r="C316" s="12">
        <v>44511</v>
      </c>
      <c r="D316" s="12">
        <f t="shared" ref="D316" si="314">C316+1</f>
        <v>44512</v>
      </c>
      <c r="E316" s="11">
        <f t="shared" si="256"/>
        <v>1</v>
      </c>
      <c r="F316" s="11" t="s">
        <v>5</v>
      </c>
      <c r="G316" s="11">
        <v>216</v>
      </c>
      <c r="H316" s="11" t="s">
        <v>6</v>
      </c>
      <c r="I316" s="13">
        <v>190</v>
      </c>
      <c r="J316" s="14" t="s">
        <v>9</v>
      </c>
      <c r="K316" s="14" t="s">
        <v>16</v>
      </c>
      <c r="L316" s="15" t="s">
        <v>43</v>
      </c>
    </row>
    <row r="317" spans="1:12" ht="18.5" x14ac:dyDescent="0.45">
      <c r="A317" s="5" t="s">
        <v>359</v>
      </c>
      <c r="B317" s="11" t="s">
        <v>49</v>
      </c>
      <c r="C317" s="12">
        <v>44512</v>
      </c>
      <c r="D317" s="12">
        <f t="shared" ref="D317" si="315">C317+2</f>
        <v>44514</v>
      </c>
      <c r="E317" s="11">
        <f t="shared" si="256"/>
        <v>2</v>
      </c>
      <c r="F317" s="11" t="s">
        <v>5</v>
      </c>
      <c r="G317" s="11">
        <v>218</v>
      </c>
      <c r="H317" s="11" t="s">
        <v>6</v>
      </c>
      <c r="I317" s="13">
        <v>190</v>
      </c>
      <c r="J317" s="14" t="s">
        <v>9</v>
      </c>
      <c r="K317" s="14" t="s">
        <v>17</v>
      </c>
      <c r="L317" s="15" t="s">
        <v>37</v>
      </c>
    </row>
    <row r="318" spans="1:12" ht="18.5" x14ac:dyDescent="0.45">
      <c r="A318" s="5" t="s">
        <v>360</v>
      </c>
      <c r="B318" s="11" t="s">
        <v>49</v>
      </c>
      <c r="C318" s="12">
        <v>44513</v>
      </c>
      <c r="D318" s="12">
        <f t="shared" ref="D318" si="316">C318+7</f>
        <v>44520</v>
      </c>
      <c r="E318" s="11">
        <f t="shared" si="256"/>
        <v>7</v>
      </c>
      <c r="F318" s="11" t="s">
        <v>2</v>
      </c>
      <c r="G318" s="11">
        <v>220</v>
      </c>
      <c r="H318" s="11" t="s">
        <v>6</v>
      </c>
      <c r="I318" s="13">
        <v>190</v>
      </c>
      <c r="J318" s="14" t="s">
        <v>9</v>
      </c>
      <c r="K318" s="14" t="s">
        <v>18</v>
      </c>
      <c r="L318" s="15" t="s">
        <v>40</v>
      </c>
    </row>
    <row r="319" spans="1:12" ht="18.5" x14ac:dyDescent="0.45">
      <c r="A319" s="5" t="s">
        <v>361</v>
      </c>
      <c r="B319" s="11" t="s">
        <v>49</v>
      </c>
      <c r="C319" s="12">
        <v>44514</v>
      </c>
      <c r="D319" s="12">
        <f t="shared" ref="D319" si="317">C319+3</f>
        <v>44517</v>
      </c>
      <c r="E319" s="11">
        <f t="shared" si="256"/>
        <v>3</v>
      </c>
      <c r="F319" s="11" t="s">
        <v>3</v>
      </c>
      <c r="G319" s="11">
        <v>222</v>
      </c>
      <c r="H319" s="11" t="s">
        <v>6</v>
      </c>
      <c r="I319" s="13">
        <v>190</v>
      </c>
      <c r="J319" s="14" t="s">
        <v>9</v>
      </c>
      <c r="K319" s="14" t="s">
        <v>19</v>
      </c>
      <c r="L319" s="15" t="s">
        <v>43</v>
      </c>
    </row>
    <row r="320" spans="1:12" ht="18.5" x14ac:dyDescent="0.45">
      <c r="A320" s="5" t="s">
        <v>362</v>
      </c>
      <c r="B320" s="11" t="s">
        <v>49</v>
      </c>
      <c r="C320" s="12">
        <v>44515</v>
      </c>
      <c r="D320" s="12">
        <f t="shared" ref="D320" si="318">C320+4</f>
        <v>44519</v>
      </c>
      <c r="E320" s="11">
        <f t="shared" si="256"/>
        <v>4</v>
      </c>
      <c r="F320" s="11" t="s">
        <v>4</v>
      </c>
      <c r="G320" s="11">
        <v>224</v>
      </c>
      <c r="H320" s="11" t="s">
        <v>6</v>
      </c>
      <c r="I320" s="13">
        <v>210</v>
      </c>
      <c r="J320" s="14" t="s">
        <v>9</v>
      </c>
      <c r="K320" s="14" t="s">
        <v>13</v>
      </c>
      <c r="L320" s="15" t="s">
        <v>37</v>
      </c>
    </row>
    <row r="321" spans="1:12" ht="18.5" x14ac:dyDescent="0.45">
      <c r="A321" s="5" t="s">
        <v>363</v>
      </c>
      <c r="B321" s="11" t="s">
        <v>49</v>
      </c>
      <c r="C321" s="12">
        <v>44516</v>
      </c>
      <c r="D321" s="12">
        <f t="shared" ref="D321" si="319">C321+1</f>
        <v>44517</v>
      </c>
      <c r="E321" s="11">
        <f t="shared" si="256"/>
        <v>1</v>
      </c>
      <c r="F321" s="11" t="s">
        <v>5</v>
      </c>
      <c r="G321" s="11">
        <v>226</v>
      </c>
      <c r="H321" s="11" t="s">
        <v>6</v>
      </c>
      <c r="I321" s="13">
        <v>210</v>
      </c>
      <c r="J321" s="14" t="s">
        <v>9</v>
      </c>
      <c r="K321" s="14" t="s">
        <v>12</v>
      </c>
      <c r="L321" s="15" t="s">
        <v>40</v>
      </c>
    </row>
    <row r="322" spans="1:12" ht="18.5" x14ac:dyDescent="0.45">
      <c r="A322" s="5" t="s">
        <v>364</v>
      </c>
      <c r="B322" s="11" t="s">
        <v>49</v>
      </c>
      <c r="C322" s="12">
        <v>44517</v>
      </c>
      <c r="D322" s="12">
        <f t="shared" ref="D322" si="320">C322+2</f>
        <v>44519</v>
      </c>
      <c r="E322" s="11">
        <f t="shared" ref="E322:E367" si="321">D322-C322</f>
        <v>2</v>
      </c>
      <c r="F322" s="11" t="s">
        <v>2</v>
      </c>
      <c r="G322" s="11">
        <v>228</v>
      </c>
      <c r="H322" s="11" t="s">
        <v>6</v>
      </c>
      <c r="I322" s="13">
        <v>210</v>
      </c>
      <c r="J322" s="14" t="s">
        <v>9</v>
      </c>
      <c r="K322" s="14" t="s">
        <v>12</v>
      </c>
      <c r="L322" s="15" t="s">
        <v>43</v>
      </c>
    </row>
    <row r="323" spans="1:12" ht="18.5" x14ac:dyDescent="0.45">
      <c r="A323" s="5" t="s">
        <v>365</v>
      </c>
      <c r="B323" s="11" t="s">
        <v>49</v>
      </c>
      <c r="C323" s="12">
        <v>44518</v>
      </c>
      <c r="D323" s="12">
        <f t="shared" ref="D323" si="322">C323+7</f>
        <v>44525</v>
      </c>
      <c r="E323" s="11">
        <f t="shared" si="321"/>
        <v>7</v>
      </c>
      <c r="F323" s="11" t="s">
        <v>3</v>
      </c>
      <c r="G323" s="11">
        <v>230</v>
      </c>
      <c r="H323" s="11" t="s">
        <v>6</v>
      </c>
      <c r="I323" s="13">
        <v>210</v>
      </c>
      <c r="J323" s="14" t="s">
        <v>9</v>
      </c>
      <c r="K323" s="14" t="s">
        <v>13</v>
      </c>
      <c r="L323" s="15" t="s">
        <v>37</v>
      </c>
    </row>
    <row r="324" spans="1:12" ht="18.5" x14ac:dyDescent="0.45">
      <c r="A324" s="5" t="s">
        <v>366</v>
      </c>
      <c r="B324" s="11" t="s">
        <v>49</v>
      </c>
      <c r="C324" s="12">
        <v>44519</v>
      </c>
      <c r="D324" s="12">
        <f t="shared" ref="D324" si="323">C324+3</f>
        <v>44522</v>
      </c>
      <c r="E324" s="11">
        <f t="shared" si="321"/>
        <v>3</v>
      </c>
      <c r="F324" s="11" t="s">
        <v>4</v>
      </c>
      <c r="G324" s="11">
        <v>232</v>
      </c>
      <c r="H324" s="11" t="s">
        <v>6</v>
      </c>
      <c r="I324" s="13">
        <v>210</v>
      </c>
      <c r="J324" s="14" t="s">
        <v>9</v>
      </c>
      <c r="K324" s="14" t="s">
        <v>14</v>
      </c>
      <c r="L324" s="15" t="s">
        <v>40</v>
      </c>
    </row>
    <row r="325" spans="1:12" ht="18.5" x14ac:dyDescent="0.45">
      <c r="A325" s="5" t="s">
        <v>367</v>
      </c>
      <c r="B325" s="11" t="s">
        <v>49</v>
      </c>
      <c r="C325" s="12">
        <v>44520</v>
      </c>
      <c r="D325" s="12">
        <f t="shared" ref="D325" si="324">C325+4</f>
        <v>44524</v>
      </c>
      <c r="E325" s="11">
        <f t="shared" si="321"/>
        <v>4</v>
      </c>
      <c r="F325" s="11" t="s">
        <v>5</v>
      </c>
      <c r="G325" s="11">
        <v>234</v>
      </c>
      <c r="H325" s="11" t="s">
        <v>6</v>
      </c>
      <c r="I325" s="13">
        <v>210</v>
      </c>
      <c r="J325" s="14" t="s">
        <v>9</v>
      </c>
      <c r="K325" s="14" t="s">
        <v>15</v>
      </c>
      <c r="L325" s="15" t="s">
        <v>43</v>
      </c>
    </row>
    <row r="326" spans="1:12" ht="18.5" x14ac:dyDescent="0.45">
      <c r="A326" s="5" t="s">
        <v>368</v>
      </c>
      <c r="B326" s="11" t="s">
        <v>36</v>
      </c>
      <c r="C326" s="12">
        <v>44521</v>
      </c>
      <c r="D326" s="12">
        <f t="shared" ref="D326" si="325">C326+1</f>
        <v>44522</v>
      </c>
      <c r="E326" s="11">
        <f t="shared" si="321"/>
        <v>1</v>
      </c>
      <c r="F326" s="11" t="s">
        <v>2</v>
      </c>
      <c r="G326" s="11">
        <v>236</v>
      </c>
      <c r="H326" s="11" t="s">
        <v>6</v>
      </c>
      <c r="I326" s="13">
        <v>210</v>
      </c>
      <c r="J326" s="14" t="s">
        <v>9</v>
      </c>
      <c r="K326" s="14" t="s">
        <v>16</v>
      </c>
      <c r="L326" s="15" t="s">
        <v>37</v>
      </c>
    </row>
    <row r="327" spans="1:12" ht="18.5" x14ac:dyDescent="0.45">
      <c r="A327" s="5" t="s">
        <v>369</v>
      </c>
      <c r="B327" s="11" t="s">
        <v>39</v>
      </c>
      <c r="C327" s="12">
        <v>44522</v>
      </c>
      <c r="D327" s="12">
        <f t="shared" ref="D327" si="326">C327+2</f>
        <v>44524</v>
      </c>
      <c r="E327" s="11">
        <f t="shared" si="321"/>
        <v>2</v>
      </c>
      <c r="F327" s="11" t="s">
        <v>3</v>
      </c>
      <c r="G327" s="11">
        <v>238</v>
      </c>
      <c r="H327" s="11" t="s">
        <v>6</v>
      </c>
      <c r="I327" s="13">
        <v>210</v>
      </c>
      <c r="J327" s="14" t="s">
        <v>9</v>
      </c>
      <c r="K327" s="14" t="s">
        <v>17</v>
      </c>
      <c r="L327" s="15" t="s">
        <v>40</v>
      </c>
    </row>
    <row r="328" spans="1:12" ht="18.5" x14ac:dyDescent="0.45">
      <c r="A328" s="5" t="s">
        <v>370</v>
      </c>
      <c r="B328" s="11" t="s">
        <v>42</v>
      </c>
      <c r="C328" s="12">
        <v>44523</v>
      </c>
      <c r="D328" s="12">
        <f t="shared" ref="D328" si="327">C328+7</f>
        <v>44530</v>
      </c>
      <c r="E328" s="11">
        <f t="shared" si="321"/>
        <v>7</v>
      </c>
      <c r="F328" s="11" t="s">
        <v>2</v>
      </c>
      <c r="G328" s="11">
        <v>240</v>
      </c>
      <c r="H328" s="11" t="s">
        <v>6</v>
      </c>
      <c r="I328" s="13">
        <v>210</v>
      </c>
      <c r="J328" s="14" t="s">
        <v>9</v>
      </c>
      <c r="K328" s="14" t="s">
        <v>18</v>
      </c>
      <c r="L328" s="15" t="s">
        <v>43</v>
      </c>
    </row>
    <row r="329" spans="1:12" ht="18.5" x14ac:dyDescent="0.45">
      <c r="A329" s="5" t="s">
        <v>371</v>
      </c>
      <c r="B329" s="11" t="s">
        <v>45</v>
      </c>
      <c r="C329" s="12">
        <v>44524</v>
      </c>
      <c r="D329" s="12">
        <f t="shared" ref="D329" si="328">C329+3</f>
        <v>44527</v>
      </c>
      <c r="E329" s="11">
        <f t="shared" si="321"/>
        <v>3</v>
      </c>
      <c r="F329" s="11" t="s">
        <v>3</v>
      </c>
      <c r="G329" s="11">
        <v>242</v>
      </c>
      <c r="H329" s="11" t="s">
        <v>6</v>
      </c>
      <c r="I329" s="13">
        <v>210</v>
      </c>
      <c r="J329" s="14" t="s">
        <v>9</v>
      </c>
      <c r="K329" s="14" t="s">
        <v>19</v>
      </c>
      <c r="L329" s="15" t="s">
        <v>37</v>
      </c>
    </row>
    <row r="330" spans="1:12" ht="18.5" x14ac:dyDescent="0.45">
      <c r="A330" s="5" t="s">
        <v>372</v>
      </c>
      <c r="B330" s="11" t="s">
        <v>47</v>
      </c>
      <c r="C330" s="12">
        <v>44525</v>
      </c>
      <c r="D330" s="12">
        <f t="shared" ref="D330" si="329">C330+4</f>
        <v>44529</v>
      </c>
      <c r="E330" s="11">
        <f t="shared" si="321"/>
        <v>4</v>
      </c>
      <c r="F330" s="11" t="s">
        <v>2</v>
      </c>
      <c r="G330" s="11">
        <v>244</v>
      </c>
      <c r="H330" s="11" t="s">
        <v>6</v>
      </c>
      <c r="I330" s="13">
        <v>210</v>
      </c>
      <c r="J330" s="14" t="s">
        <v>9</v>
      </c>
      <c r="K330" s="14" t="s">
        <v>13</v>
      </c>
      <c r="L330" s="15" t="s">
        <v>40</v>
      </c>
    </row>
    <row r="331" spans="1:12" ht="18.5" x14ac:dyDescent="0.45">
      <c r="A331" s="5" t="s">
        <v>373</v>
      </c>
      <c r="B331" s="11" t="s">
        <v>49</v>
      </c>
      <c r="C331" s="12">
        <v>44526</v>
      </c>
      <c r="D331" s="12">
        <f t="shared" ref="D331" si="330">C331+1</f>
        <v>44527</v>
      </c>
      <c r="E331" s="11">
        <f t="shared" si="321"/>
        <v>1</v>
      </c>
      <c r="F331" s="11" t="s">
        <v>2</v>
      </c>
      <c r="G331" s="11">
        <v>246</v>
      </c>
      <c r="H331" s="11" t="s">
        <v>6</v>
      </c>
      <c r="I331" s="13">
        <v>210</v>
      </c>
      <c r="J331" s="14" t="s">
        <v>11</v>
      </c>
      <c r="K331" s="14" t="s">
        <v>12</v>
      </c>
      <c r="L331" s="15" t="s">
        <v>43</v>
      </c>
    </row>
    <row r="332" spans="1:12" ht="18.5" x14ac:dyDescent="0.45">
      <c r="A332" s="5" t="s">
        <v>374</v>
      </c>
      <c r="B332" s="11" t="s">
        <v>36</v>
      </c>
      <c r="C332" s="12">
        <v>44527</v>
      </c>
      <c r="D332" s="12">
        <f t="shared" ref="D332" si="331">C332+2</f>
        <v>44529</v>
      </c>
      <c r="E332" s="11">
        <f t="shared" si="321"/>
        <v>2</v>
      </c>
      <c r="F332" s="11" t="s">
        <v>2</v>
      </c>
      <c r="G332" s="11">
        <v>248</v>
      </c>
      <c r="H332" s="11" t="s">
        <v>6</v>
      </c>
      <c r="I332" s="13">
        <v>190</v>
      </c>
      <c r="J332" s="14" t="s">
        <v>11</v>
      </c>
      <c r="K332" s="14" t="s">
        <v>12</v>
      </c>
      <c r="L332" s="15" t="s">
        <v>37</v>
      </c>
    </row>
    <row r="333" spans="1:12" ht="18.5" x14ac:dyDescent="0.45">
      <c r="A333" s="5" t="s">
        <v>375</v>
      </c>
      <c r="B333" s="11" t="s">
        <v>39</v>
      </c>
      <c r="C333" s="12">
        <v>44528</v>
      </c>
      <c r="D333" s="12">
        <f t="shared" ref="D333" si="332">C333+7</f>
        <v>44535</v>
      </c>
      <c r="E333" s="11">
        <f t="shared" si="321"/>
        <v>7</v>
      </c>
      <c r="F333" s="11" t="s">
        <v>3</v>
      </c>
      <c r="G333" s="11">
        <v>250</v>
      </c>
      <c r="H333" s="11" t="s">
        <v>6</v>
      </c>
      <c r="I333" s="13">
        <v>210</v>
      </c>
      <c r="J333" s="14" t="s">
        <v>11</v>
      </c>
      <c r="K333" s="14" t="s">
        <v>13</v>
      </c>
      <c r="L333" s="15" t="s">
        <v>40</v>
      </c>
    </row>
    <row r="334" spans="1:12" ht="18.5" x14ac:dyDescent="0.45">
      <c r="A334" s="5" t="s">
        <v>376</v>
      </c>
      <c r="B334" s="11" t="s">
        <v>42</v>
      </c>
      <c r="C334" s="12">
        <v>44529</v>
      </c>
      <c r="D334" s="12">
        <f t="shared" ref="D334" si="333">C334+3</f>
        <v>44532</v>
      </c>
      <c r="E334" s="11">
        <f t="shared" si="321"/>
        <v>3</v>
      </c>
      <c r="F334" s="11" t="s">
        <v>3</v>
      </c>
      <c r="G334" s="11">
        <v>252</v>
      </c>
      <c r="H334" s="11" t="s">
        <v>8</v>
      </c>
      <c r="I334" s="13">
        <v>2100</v>
      </c>
      <c r="J334" s="14" t="s">
        <v>11</v>
      </c>
      <c r="K334" s="14" t="s">
        <v>14</v>
      </c>
      <c r="L334" s="15" t="s">
        <v>43</v>
      </c>
    </row>
    <row r="335" spans="1:12" ht="18.5" x14ac:dyDescent="0.45">
      <c r="A335" s="5" t="s">
        <v>377</v>
      </c>
      <c r="B335" s="11" t="s">
        <v>45</v>
      </c>
      <c r="C335" s="12">
        <v>44530</v>
      </c>
      <c r="D335" s="12">
        <f t="shared" ref="D335" si="334">C335+4</f>
        <v>44534</v>
      </c>
      <c r="E335" s="11">
        <f t="shared" si="321"/>
        <v>4</v>
      </c>
      <c r="F335" s="11" t="s">
        <v>2</v>
      </c>
      <c r="G335" s="11">
        <v>254</v>
      </c>
      <c r="H335" s="11" t="s">
        <v>7</v>
      </c>
      <c r="I335" s="13">
        <v>1200</v>
      </c>
      <c r="J335" s="14" t="s">
        <v>11</v>
      </c>
      <c r="K335" s="14" t="s">
        <v>15</v>
      </c>
      <c r="L335" s="15" t="s">
        <v>37</v>
      </c>
    </row>
    <row r="336" spans="1:12" ht="18.5" x14ac:dyDescent="0.45">
      <c r="A336" s="5" t="s">
        <v>378</v>
      </c>
      <c r="B336" s="11" t="s">
        <v>47</v>
      </c>
      <c r="C336" s="12">
        <v>44531</v>
      </c>
      <c r="D336" s="12">
        <f t="shared" ref="D336" si="335">C336+1</f>
        <v>44532</v>
      </c>
      <c r="E336" s="11">
        <f t="shared" si="321"/>
        <v>1</v>
      </c>
      <c r="F336" s="11" t="s">
        <v>2</v>
      </c>
      <c r="G336" s="11">
        <v>256</v>
      </c>
      <c r="H336" s="11" t="s">
        <v>8</v>
      </c>
      <c r="I336" s="13">
        <v>1500</v>
      </c>
      <c r="J336" s="14" t="s">
        <v>11</v>
      </c>
      <c r="K336" s="14" t="s">
        <v>16</v>
      </c>
      <c r="L336" s="15" t="s">
        <v>40</v>
      </c>
    </row>
    <row r="337" spans="1:12" ht="18.5" x14ac:dyDescent="0.45">
      <c r="A337" s="5" t="s">
        <v>379</v>
      </c>
      <c r="B337" s="11" t="s">
        <v>49</v>
      </c>
      <c r="C337" s="12">
        <v>44532</v>
      </c>
      <c r="D337" s="12">
        <f t="shared" ref="D337" si="336">C337+2</f>
        <v>44534</v>
      </c>
      <c r="E337" s="11">
        <f t="shared" si="321"/>
        <v>2</v>
      </c>
      <c r="F337" s="11" t="s">
        <v>3</v>
      </c>
      <c r="G337" s="11">
        <v>258</v>
      </c>
      <c r="H337" s="11" t="s">
        <v>8</v>
      </c>
      <c r="I337" s="13">
        <v>1500</v>
      </c>
      <c r="J337" s="14" t="s">
        <v>11</v>
      </c>
      <c r="K337" s="14" t="s">
        <v>17</v>
      </c>
      <c r="L337" s="15" t="s">
        <v>43</v>
      </c>
    </row>
    <row r="338" spans="1:12" ht="18.5" x14ac:dyDescent="0.45">
      <c r="A338" s="5" t="s">
        <v>380</v>
      </c>
      <c r="B338" s="11" t="s">
        <v>49</v>
      </c>
      <c r="C338" s="12">
        <v>44533</v>
      </c>
      <c r="D338" s="12">
        <f t="shared" ref="D338" si="337">C338+7</f>
        <v>44540</v>
      </c>
      <c r="E338" s="11">
        <f t="shared" si="321"/>
        <v>7</v>
      </c>
      <c r="F338" s="11" t="s">
        <v>2</v>
      </c>
      <c r="G338" s="11">
        <v>260</v>
      </c>
      <c r="H338" s="11" t="s">
        <v>8</v>
      </c>
      <c r="I338" s="13">
        <v>1500</v>
      </c>
      <c r="J338" s="14" t="s">
        <v>11</v>
      </c>
      <c r="K338" s="14" t="s">
        <v>18</v>
      </c>
      <c r="L338" s="15" t="s">
        <v>37</v>
      </c>
    </row>
    <row r="339" spans="1:12" ht="18.5" x14ac:dyDescent="0.45">
      <c r="A339" s="5" t="s">
        <v>381</v>
      </c>
      <c r="B339" s="11" t="s">
        <v>36</v>
      </c>
      <c r="C339" s="12">
        <v>44534</v>
      </c>
      <c r="D339" s="12">
        <f t="shared" ref="D339" si="338">C339+3</f>
        <v>44537</v>
      </c>
      <c r="E339" s="11">
        <f t="shared" si="321"/>
        <v>3</v>
      </c>
      <c r="F339" s="11" t="s">
        <v>2</v>
      </c>
      <c r="G339" s="11">
        <v>262</v>
      </c>
      <c r="H339" s="11" t="s">
        <v>8</v>
      </c>
      <c r="I339" s="13">
        <v>1500</v>
      </c>
      <c r="J339" s="14" t="s">
        <v>11</v>
      </c>
      <c r="K339" s="14" t="s">
        <v>19</v>
      </c>
      <c r="L339" s="15" t="s">
        <v>40</v>
      </c>
    </row>
    <row r="340" spans="1:12" ht="18.5" x14ac:dyDescent="0.45">
      <c r="A340" s="5" t="s">
        <v>382</v>
      </c>
      <c r="B340" s="11" t="s">
        <v>39</v>
      </c>
      <c r="C340" s="12">
        <v>44535</v>
      </c>
      <c r="D340" s="12">
        <f t="shared" ref="D340" si="339">C340+4</f>
        <v>44539</v>
      </c>
      <c r="E340" s="11">
        <f t="shared" si="321"/>
        <v>4</v>
      </c>
      <c r="F340" s="11" t="s">
        <v>2</v>
      </c>
      <c r="G340" s="11">
        <v>264</v>
      </c>
      <c r="H340" s="11" t="s">
        <v>8</v>
      </c>
      <c r="I340" s="13">
        <v>1500</v>
      </c>
      <c r="J340" s="14" t="s">
        <v>11</v>
      </c>
      <c r="K340" s="14" t="s">
        <v>13</v>
      </c>
      <c r="L340" s="15" t="s">
        <v>43</v>
      </c>
    </row>
    <row r="341" spans="1:12" ht="18.5" x14ac:dyDescent="0.45">
      <c r="A341" s="5" t="s">
        <v>383</v>
      </c>
      <c r="B341" s="11" t="s">
        <v>42</v>
      </c>
      <c r="C341" s="12">
        <v>44536</v>
      </c>
      <c r="D341" s="12">
        <f t="shared" ref="D341" si="340">C341+1</f>
        <v>44537</v>
      </c>
      <c r="E341" s="11">
        <f t="shared" si="321"/>
        <v>1</v>
      </c>
      <c r="F341" s="11" t="s">
        <v>2</v>
      </c>
      <c r="G341" s="11">
        <v>266</v>
      </c>
      <c r="H341" s="11" t="s">
        <v>8</v>
      </c>
      <c r="I341" s="13">
        <v>1500</v>
      </c>
      <c r="J341" s="14" t="s">
        <v>11</v>
      </c>
      <c r="K341" s="14" t="s">
        <v>12</v>
      </c>
      <c r="L341" s="15" t="s">
        <v>37</v>
      </c>
    </row>
    <row r="342" spans="1:12" ht="18.5" x14ac:dyDescent="0.45">
      <c r="A342" s="5" t="s">
        <v>384</v>
      </c>
      <c r="B342" s="11" t="s">
        <v>45</v>
      </c>
      <c r="C342" s="12">
        <v>44537</v>
      </c>
      <c r="D342" s="12">
        <f t="shared" ref="D342" si="341">C342+2</f>
        <v>44539</v>
      </c>
      <c r="E342" s="11">
        <f t="shared" si="321"/>
        <v>2</v>
      </c>
      <c r="F342" s="11" t="s">
        <v>2</v>
      </c>
      <c r="G342" s="11">
        <v>268</v>
      </c>
      <c r="H342" s="11" t="s">
        <v>8</v>
      </c>
      <c r="I342" s="13">
        <v>1500</v>
      </c>
      <c r="J342" s="14" t="s">
        <v>11</v>
      </c>
      <c r="K342" s="14" t="s">
        <v>12</v>
      </c>
      <c r="L342" s="15" t="s">
        <v>40</v>
      </c>
    </row>
    <row r="343" spans="1:12" ht="18.5" x14ac:dyDescent="0.45">
      <c r="A343" s="5" t="s">
        <v>385</v>
      </c>
      <c r="B343" s="11" t="s">
        <v>47</v>
      </c>
      <c r="C343" s="12">
        <v>44538</v>
      </c>
      <c r="D343" s="12">
        <f t="shared" ref="D343" si="342">C343+7</f>
        <v>44545</v>
      </c>
      <c r="E343" s="11">
        <f t="shared" si="321"/>
        <v>7</v>
      </c>
      <c r="F343" s="11" t="s">
        <v>2</v>
      </c>
      <c r="G343" s="11">
        <v>270</v>
      </c>
      <c r="H343" s="11" t="s">
        <v>8</v>
      </c>
      <c r="I343" s="13">
        <v>1500</v>
      </c>
      <c r="J343" s="14" t="s">
        <v>11</v>
      </c>
      <c r="K343" s="14" t="s">
        <v>13</v>
      </c>
      <c r="L343" s="15" t="s">
        <v>43</v>
      </c>
    </row>
    <row r="344" spans="1:12" ht="18.5" x14ac:dyDescent="0.45">
      <c r="A344" s="5" t="s">
        <v>386</v>
      </c>
      <c r="B344" s="11" t="s">
        <v>49</v>
      </c>
      <c r="C344" s="12">
        <v>44539</v>
      </c>
      <c r="D344" s="12">
        <f t="shared" ref="D344" si="343">C344+3</f>
        <v>44542</v>
      </c>
      <c r="E344" s="11">
        <f t="shared" si="321"/>
        <v>3</v>
      </c>
      <c r="F344" s="11" t="s">
        <v>2</v>
      </c>
      <c r="G344" s="11">
        <v>272</v>
      </c>
      <c r="H344" s="11" t="s">
        <v>8</v>
      </c>
      <c r="I344" s="13">
        <v>1500</v>
      </c>
      <c r="J344" s="14" t="s">
        <v>11</v>
      </c>
      <c r="K344" s="14" t="s">
        <v>14</v>
      </c>
      <c r="L344" s="15" t="s">
        <v>37</v>
      </c>
    </row>
    <row r="345" spans="1:12" ht="18.5" x14ac:dyDescent="0.45">
      <c r="A345" s="5" t="s">
        <v>387</v>
      </c>
      <c r="B345" s="11" t="s">
        <v>36</v>
      </c>
      <c r="C345" s="12">
        <v>44540</v>
      </c>
      <c r="D345" s="12">
        <f t="shared" ref="D345" si="344">C345+4</f>
        <v>44544</v>
      </c>
      <c r="E345" s="11">
        <f t="shared" si="321"/>
        <v>4</v>
      </c>
      <c r="F345" s="11" t="s">
        <v>2</v>
      </c>
      <c r="G345" s="11">
        <v>274</v>
      </c>
      <c r="H345" s="11" t="s">
        <v>6</v>
      </c>
      <c r="I345" s="13">
        <v>210</v>
      </c>
      <c r="J345" s="14" t="s">
        <v>11</v>
      </c>
      <c r="K345" s="14" t="s">
        <v>15</v>
      </c>
      <c r="L345" s="15" t="s">
        <v>40</v>
      </c>
    </row>
    <row r="346" spans="1:12" ht="18.5" x14ac:dyDescent="0.45">
      <c r="A346" s="5" t="s">
        <v>388</v>
      </c>
      <c r="B346" s="11" t="s">
        <v>39</v>
      </c>
      <c r="C346" s="12">
        <v>44541</v>
      </c>
      <c r="D346" s="12">
        <f t="shared" ref="D346" si="345">C346+1</f>
        <v>44542</v>
      </c>
      <c r="E346" s="11">
        <f t="shared" si="321"/>
        <v>1</v>
      </c>
      <c r="F346" s="11" t="s">
        <v>3</v>
      </c>
      <c r="G346" s="11">
        <v>276</v>
      </c>
      <c r="H346" s="11" t="s">
        <v>7</v>
      </c>
      <c r="I346" s="13">
        <v>2100</v>
      </c>
      <c r="J346" s="14" t="s">
        <v>11</v>
      </c>
      <c r="K346" s="14" t="s">
        <v>16</v>
      </c>
      <c r="L346" s="15" t="s">
        <v>43</v>
      </c>
    </row>
    <row r="347" spans="1:12" ht="18.5" x14ac:dyDescent="0.45">
      <c r="A347" s="5" t="s">
        <v>389</v>
      </c>
      <c r="B347" s="11" t="s">
        <v>42</v>
      </c>
      <c r="C347" s="12">
        <v>44542</v>
      </c>
      <c r="D347" s="12">
        <f t="shared" ref="D347" si="346">C347+2</f>
        <v>44544</v>
      </c>
      <c r="E347" s="11">
        <f t="shared" si="321"/>
        <v>2</v>
      </c>
      <c r="F347" s="11" t="s">
        <v>2</v>
      </c>
      <c r="G347" s="11">
        <v>278</v>
      </c>
      <c r="H347" s="11" t="s">
        <v>8</v>
      </c>
      <c r="I347" s="13">
        <v>1200</v>
      </c>
      <c r="J347" s="14" t="s">
        <v>11</v>
      </c>
      <c r="K347" s="14" t="s">
        <v>17</v>
      </c>
      <c r="L347" s="15" t="s">
        <v>37</v>
      </c>
    </row>
    <row r="348" spans="1:12" ht="18.5" x14ac:dyDescent="0.45">
      <c r="A348" s="5" t="s">
        <v>390</v>
      </c>
      <c r="B348" s="11" t="s">
        <v>45</v>
      </c>
      <c r="C348" s="12">
        <v>44543</v>
      </c>
      <c r="D348" s="12">
        <f t="shared" ref="D348" si="347">C348+7</f>
        <v>44550</v>
      </c>
      <c r="E348" s="11">
        <f t="shared" si="321"/>
        <v>7</v>
      </c>
      <c r="F348" s="11" t="s">
        <v>3</v>
      </c>
      <c r="G348" s="11">
        <v>280</v>
      </c>
      <c r="H348" s="11" t="s">
        <v>7</v>
      </c>
      <c r="I348" s="13">
        <v>300</v>
      </c>
      <c r="J348" s="14" t="s">
        <v>11</v>
      </c>
      <c r="K348" s="14" t="s">
        <v>18</v>
      </c>
      <c r="L348" s="15" t="s">
        <v>40</v>
      </c>
    </row>
    <row r="349" spans="1:12" ht="18.5" x14ac:dyDescent="0.45">
      <c r="A349" s="5" t="s">
        <v>391</v>
      </c>
      <c r="B349" s="11" t="s">
        <v>47</v>
      </c>
      <c r="C349" s="12">
        <v>44544</v>
      </c>
      <c r="D349" s="12">
        <f t="shared" ref="D349" si="348">C349+3</f>
        <v>44547</v>
      </c>
      <c r="E349" s="11">
        <f t="shared" si="321"/>
        <v>3</v>
      </c>
      <c r="F349" s="11" t="s">
        <v>2</v>
      </c>
      <c r="G349" s="11">
        <v>282</v>
      </c>
      <c r="H349" s="11" t="s">
        <v>6</v>
      </c>
      <c r="I349" s="13">
        <v>200</v>
      </c>
      <c r="J349" s="14" t="s">
        <v>10</v>
      </c>
      <c r="K349" s="14" t="s">
        <v>19</v>
      </c>
      <c r="L349" s="15" t="s">
        <v>43</v>
      </c>
    </row>
    <row r="350" spans="1:12" ht="18.5" x14ac:dyDescent="0.45">
      <c r="A350" s="5" t="s">
        <v>392</v>
      </c>
      <c r="B350" s="11" t="s">
        <v>49</v>
      </c>
      <c r="C350" s="12">
        <v>44545</v>
      </c>
      <c r="D350" s="12">
        <f t="shared" ref="D350" si="349">C350+4</f>
        <v>44549</v>
      </c>
      <c r="E350" s="11">
        <f t="shared" si="321"/>
        <v>4</v>
      </c>
      <c r="F350" s="11" t="s">
        <v>2</v>
      </c>
      <c r="G350" s="11">
        <v>284</v>
      </c>
      <c r="H350" s="11" t="s">
        <v>6</v>
      </c>
      <c r="I350" s="13">
        <v>190</v>
      </c>
      <c r="J350" s="14" t="s">
        <v>10</v>
      </c>
      <c r="K350" s="14" t="s">
        <v>13</v>
      </c>
      <c r="L350" s="15" t="s">
        <v>37</v>
      </c>
    </row>
    <row r="351" spans="1:12" ht="18.5" x14ac:dyDescent="0.45">
      <c r="A351" s="5" t="s">
        <v>393</v>
      </c>
      <c r="B351" s="11" t="s">
        <v>49</v>
      </c>
      <c r="C351" s="12">
        <v>44546</v>
      </c>
      <c r="D351" s="12">
        <f t="shared" ref="D351" si="350">C351+1</f>
        <v>44547</v>
      </c>
      <c r="E351" s="11">
        <f t="shared" si="321"/>
        <v>1</v>
      </c>
      <c r="F351" s="11" t="s">
        <v>2</v>
      </c>
      <c r="G351" s="11">
        <v>286</v>
      </c>
      <c r="H351" s="11" t="s">
        <v>8</v>
      </c>
      <c r="I351" s="13">
        <v>2100</v>
      </c>
      <c r="J351" s="14" t="s">
        <v>10</v>
      </c>
      <c r="K351" s="14" t="s">
        <v>12</v>
      </c>
      <c r="L351" s="15" t="s">
        <v>40</v>
      </c>
    </row>
    <row r="352" spans="1:12" ht="18.5" x14ac:dyDescent="0.45">
      <c r="A352" s="5" t="s">
        <v>394</v>
      </c>
      <c r="B352" s="11" t="s">
        <v>36</v>
      </c>
      <c r="C352" s="12">
        <v>44547</v>
      </c>
      <c r="D352" s="12">
        <f t="shared" ref="D352" si="351">C352+2</f>
        <v>44549</v>
      </c>
      <c r="E352" s="11">
        <f t="shared" si="321"/>
        <v>2</v>
      </c>
      <c r="F352" s="11" t="s">
        <v>2</v>
      </c>
      <c r="G352" s="11">
        <v>288</v>
      </c>
      <c r="H352" s="11" t="s">
        <v>6</v>
      </c>
      <c r="I352" s="13">
        <v>210</v>
      </c>
      <c r="J352" s="14" t="s">
        <v>10</v>
      </c>
      <c r="K352" s="14" t="s">
        <v>12</v>
      </c>
      <c r="L352" s="15" t="s">
        <v>43</v>
      </c>
    </row>
    <row r="353" spans="1:12" ht="18.5" x14ac:dyDescent="0.45">
      <c r="A353" s="5" t="s">
        <v>395</v>
      </c>
      <c r="B353" s="11" t="s">
        <v>36</v>
      </c>
      <c r="C353" s="12">
        <v>44548</v>
      </c>
      <c r="D353" s="12">
        <f t="shared" ref="D353" si="352">C353+7</f>
        <v>44555</v>
      </c>
      <c r="E353" s="11">
        <f t="shared" si="321"/>
        <v>7</v>
      </c>
      <c r="F353" s="11" t="s">
        <v>3</v>
      </c>
      <c r="G353" s="11">
        <v>290</v>
      </c>
      <c r="H353" s="11" t="s">
        <v>8</v>
      </c>
      <c r="I353" s="13">
        <v>2100</v>
      </c>
      <c r="J353" s="14" t="s">
        <v>10</v>
      </c>
      <c r="K353" s="14" t="s">
        <v>13</v>
      </c>
      <c r="L353" s="15" t="s">
        <v>37</v>
      </c>
    </row>
    <row r="354" spans="1:12" ht="18.5" x14ac:dyDescent="0.45">
      <c r="A354" s="5" t="s">
        <v>396</v>
      </c>
      <c r="B354" s="11" t="s">
        <v>36</v>
      </c>
      <c r="C354" s="12">
        <v>44549</v>
      </c>
      <c r="D354" s="12">
        <f t="shared" ref="D354" si="353">C354+3</f>
        <v>44552</v>
      </c>
      <c r="E354" s="11">
        <f t="shared" si="321"/>
        <v>3</v>
      </c>
      <c r="F354" s="11" t="s">
        <v>4</v>
      </c>
      <c r="G354" s="11">
        <v>292</v>
      </c>
      <c r="H354" s="11" t="s">
        <v>7</v>
      </c>
      <c r="I354" s="13">
        <v>1200</v>
      </c>
      <c r="J354" s="14" t="s">
        <v>10</v>
      </c>
      <c r="K354" s="14" t="s">
        <v>14</v>
      </c>
      <c r="L354" s="15" t="s">
        <v>40</v>
      </c>
    </row>
    <row r="355" spans="1:12" ht="18.5" x14ac:dyDescent="0.45">
      <c r="A355" s="5" t="s">
        <v>397</v>
      </c>
      <c r="B355" s="11" t="s">
        <v>36</v>
      </c>
      <c r="C355" s="12">
        <v>44550</v>
      </c>
      <c r="D355" s="12">
        <f t="shared" ref="D355" si="354">C355+4</f>
        <v>44554</v>
      </c>
      <c r="E355" s="11">
        <f t="shared" si="321"/>
        <v>4</v>
      </c>
      <c r="F355" s="11" t="s">
        <v>5</v>
      </c>
      <c r="G355" s="11">
        <v>294</v>
      </c>
      <c r="H355" s="11" t="s">
        <v>8</v>
      </c>
      <c r="I355" s="13">
        <v>1500</v>
      </c>
      <c r="J355" s="14" t="s">
        <v>10</v>
      </c>
      <c r="K355" s="14" t="s">
        <v>15</v>
      </c>
      <c r="L355" s="15" t="s">
        <v>43</v>
      </c>
    </row>
    <row r="356" spans="1:12" ht="18.5" x14ac:dyDescent="0.45">
      <c r="A356" s="5" t="s">
        <v>398</v>
      </c>
      <c r="B356" s="11" t="s">
        <v>36</v>
      </c>
      <c r="C356" s="12">
        <v>44551</v>
      </c>
      <c r="D356" s="12">
        <f t="shared" ref="D356" si="355">C356+1</f>
        <v>44552</v>
      </c>
      <c r="E356" s="11">
        <f t="shared" si="321"/>
        <v>1</v>
      </c>
      <c r="F356" s="11" t="s">
        <v>2</v>
      </c>
      <c r="G356" s="11">
        <v>201</v>
      </c>
      <c r="H356" s="11" t="s">
        <v>7</v>
      </c>
      <c r="I356" s="13">
        <v>300</v>
      </c>
      <c r="J356" s="14" t="s">
        <v>10</v>
      </c>
      <c r="K356" s="14" t="s">
        <v>16</v>
      </c>
      <c r="L356" s="15" t="s">
        <v>37</v>
      </c>
    </row>
    <row r="357" spans="1:12" ht="18.5" x14ac:dyDescent="0.45">
      <c r="A357" s="5" t="s">
        <v>399</v>
      </c>
      <c r="B357" s="11" t="s">
        <v>36</v>
      </c>
      <c r="C357" s="12">
        <v>44552</v>
      </c>
      <c r="D357" s="12">
        <f t="shared" ref="D357" si="356">C357+2</f>
        <v>44554</v>
      </c>
      <c r="E357" s="11">
        <f t="shared" si="321"/>
        <v>2</v>
      </c>
      <c r="F357" s="11" t="s">
        <v>3</v>
      </c>
      <c r="G357" s="11">
        <v>202</v>
      </c>
      <c r="H357" s="11" t="s">
        <v>6</v>
      </c>
      <c r="I357" s="13">
        <v>190</v>
      </c>
      <c r="J357" s="14" t="s">
        <v>10</v>
      </c>
      <c r="K357" s="14" t="s">
        <v>17</v>
      </c>
      <c r="L357" s="15" t="s">
        <v>40</v>
      </c>
    </row>
    <row r="358" spans="1:12" ht="18.5" x14ac:dyDescent="0.45">
      <c r="A358" s="5" t="s">
        <v>400</v>
      </c>
      <c r="B358" s="11" t="s">
        <v>36</v>
      </c>
      <c r="C358" s="12">
        <v>44553</v>
      </c>
      <c r="D358" s="12">
        <f t="shared" ref="D358" si="357">C358+7</f>
        <v>44560</v>
      </c>
      <c r="E358" s="11">
        <f t="shared" si="321"/>
        <v>7</v>
      </c>
      <c r="F358" s="11" t="s">
        <v>4</v>
      </c>
      <c r="G358" s="11">
        <v>203</v>
      </c>
      <c r="H358" s="11" t="s">
        <v>6</v>
      </c>
      <c r="I358" s="13">
        <v>210</v>
      </c>
      <c r="J358" s="14" t="s">
        <v>10</v>
      </c>
      <c r="K358" s="14" t="s">
        <v>18</v>
      </c>
      <c r="L358" s="15" t="s">
        <v>43</v>
      </c>
    </row>
    <row r="359" spans="1:12" ht="18.5" x14ac:dyDescent="0.45">
      <c r="A359" s="5" t="s">
        <v>401</v>
      </c>
      <c r="B359" s="11" t="s">
        <v>36</v>
      </c>
      <c r="C359" s="12">
        <v>44554</v>
      </c>
      <c r="D359" s="12">
        <f t="shared" ref="D359" si="358">C359+3</f>
        <v>44557</v>
      </c>
      <c r="E359" s="11">
        <f t="shared" si="321"/>
        <v>3</v>
      </c>
      <c r="F359" s="11" t="s">
        <v>5</v>
      </c>
      <c r="G359" s="11">
        <v>204</v>
      </c>
      <c r="H359" s="11" t="s">
        <v>8</v>
      </c>
      <c r="I359" s="13">
        <v>2100</v>
      </c>
      <c r="J359" s="14" t="s">
        <v>10</v>
      </c>
      <c r="K359" s="14" t="s">
        <v>19</v>
      </c>
      <c r="L359" s="15" t="s">
        <v>37</v>
      </c>
    </row>
    <row r="360" spans="1:12" ht="18.5" x14ac:dyDescent="0.45">
      <c r="A360" s="5" t="s">
        <v>402</v>
      </c>
      <c r="B360" s="11" t="s">
        <v>39</v>
      </c>
      <c r="C360" s="12">
        <v>44555</v>
      </c>
      <c r="D360" s="12">
        <f t="shared" ref="D360" si="359">C360+4</f>
        <v>44559</v>
      </c>
      <c r="E360" s="11">
        <f t="shared" si="321"/>
        <v>4</v>
      </c>
      <c r="F360" s="11" t="s">
        <v>3</v>
      </c>
      <c r="G360" s="11">
        <v>205</v>
      </c>
      <c r="H360" s="11" t="s">
        <v>8</v>
      </c>
      <c r="I360" s="13">
        <v>2100</v>
      </c>
      <c r="J360" s="14" t="s">
        <v>10</v>
      </c>
      <c r="K360" s="14" t="s">
        <v>13</v>
      </c>
      <c r="L360" s="15" t="s">
        <v>40</v>
      </c>
    </row>
    <row r="361" spans="1:12" ht="18.5" x14ac:dyDescent="0.45">
      <c r="A361" s="5" t="s">
        <v>403</v>
      </c>
      <c r="B361" s="11" t="s">
        <v>39</v>
      </c>
      <c r="C361" s="12">
        <v>44556</v>
      </c>
      <c r="D361" s="12">
        <f t="shared" ref="D361" si="360">C361+1</f>
        <v>44557</v>
      </c>
      <c r="E361" s="11">
        <f t="shared" si="321"/>
        <v>1</v>
      </c>
      <c r="F361" s="11" t="s">
        <v>2</v>
      </c>
      <c r="G361" s="11">
        <v>206</v>
      </c>
      <c r="H361" s="11" t="s">
        <v>8</v>
      </c>
      <c r="I361" s="13">
        <v>2100</v>
      </c>
      <c r="J361" s="14" t="s">
        <v>10</v>
      </c>
      <c r="K361" s="14" t="s">
        <v>12</v>
      </c>
      <c r="L361" s="15" t="s">
        <v>43</v>
      </c>
    </row>
    <row r="362" spans="1:12" ht="18.5" x14ac:dyDescent="0.45">
      <c r="A362" s="5" t="s">
        <v>404</v>
      </c>
      <c r="B362" s="11" t="s">
        <v>39</v>
      </c>
      <c r="C362" s="12">
        <v>44557</v>
      </c>
      <c r="D362" s="12">
        <f t="shared" ref="D362" si="361">C362+2</f>
        <v>44559</v>
      </c>
      <c r="E362" s="11">
        <f t="shared" si="321"/>
        <v>2</v>
      </c>
      <c r="F362" s="11" t="s">
        <v>4</v>
      </c>
      <c r="G362" s="11">
        <v>207</v>
      </c>
      <c r="H362" s="11" t="s">
        <v>8</v>
      </c>
      <c r="I362" s="13">
        <v>2100</v>
      </c>
      <c r="J362" s="14" t="s">
        <v>10</v>
      </c>
      <c r="K362" s="14" t="s">
        <v>12</v>
      </c>
      <c r="L362" s="15" t="s">
        <v>37</v>
      </c>
    </row>
    <row r="363" spans="1:12" ht="18.5" x14ac:dyDescent="0.45">
      <c r="A363" s="5" t="s">
        <v>405</v>
      </c>
      <c r="B363" s="11" t="s">
        <v>39</v>
      </c>
      <c r="C363" s="12">
        <v>44558</v>
      </c>
      <c r="D363" s="12">
        <f t="shared" ref="D363" si="362">C363+7</f>
        <v>44565</v>
      </c>
      <c r="E363" s="11">
        <f t="shared" si="321"/>
        <v>7</v>
      </c>
      <c r="F363" s="11" t="s">
        <v>5</v>
      </c>
      <c r="G363" s="11">
        <v>208</v>
      </c>
      <c r="H363" s="11" t="s">
        <v>8</v>
      </c>
      <c r="I363" s="13">
        <v>2100</v>
      </c>
      <c r="J363" s="14" t="s">
        <v>10</v>
      </c>
      <c r="K363" s="14" t="s">
        <v>13</v>
      </c>
      <c r="L363" s="15" t="s">
        <v>40</v>
      </c>
    </row>
    <row r="364" spans="1:12" ht="18.5" x14ac:dyDescent="0.45">
      <c r="A364" s="5" t="s">
        <v>406</v>
      </c>
      <c r="B364" s="11" t="s">
        <v>39</v>
      </c>
      <c r="C364" s="12">
        <v>44559</v>
      </c>
      <c r="D364" s="12">
        <f t="shared" ref="D364" si="363">C364+3</f>
        <v>44562</v>
      </c>
      <c r="E364" s="11">
        <f t="shared" si="321"/>
        <v>3</v>
      </c>
      <c r="F364" s="11" t="s">
        <v>3</v>
      </c>
      <c r="G364" s="11">
        <v>209</v>
      </c>
      <c r="H364" s="11" t="s">
        <v>8</v>
      </c>
      <c r="I364" s="13">
        <v>2100</v>
      </c>
      <c r="J364" s="14" t="s">
        <v>10</v>
      </c>
      <c r="K364" s="14" t="s">
        <v>14</v>
      </c>
      <c r="L364" s="15" t="s">
        <v>43</v>
      </c>
    </row>
    <row r="365" spans="1:12" ht="18.5" x14ac:dyDescent="0.45">
      <c r="A365" s="5" t="s">
        <v>407</v>
      </c>
      <c r="B365" s="11" t="s">
        <v>39</v>
      </c>
      <c r="C365" s="12">
        <v>44560</v>
      </c>
      <c r="D365" s="12">
        <f t="shared" ref="D365" si="364">C365+4</f>
        <v>44564</v>
      </c>
      <c r="E365" s="11">
        <f t="shared" si="321"/>
        <v>4</v>
      </c>
      <c r="F365" s="11" t="s">
        <v>2</v>
      </c>
      <c r="G365" s="11">
        <v>210</v>
      </c>
      <c r="H365" s="11" t="s">
        <v>8</v>
      </c>
      <c r="I365" s="13">
        <v>2100</v>
      </c>
      <c r="J365" s="14" t="s">
        <v>10</v>
      </c>
      <c r="K365" s="14" t="s">
        <v>15</v>
      </c>
      <c r="L365" s="15" t="s">
        <v>37</v>
      </c>
    </row>
    <row r="366" spans="1:12" ht="18.5" x14ac:dyDescent="0.45">
      <c r="A366" s="5" t="s">
        <v>408</v>
      </c>
      <c r="B366" s="11" t="s">
        <v>39</v>
      </c>
      <c r="C366" s="12">
        <v>44561</v>
      </c>
      <c r="D366" s="12">
        <f t="shared" ref="D366" si="365">C366+1</f>
        <v>44562</v>
      </c>
      <c r="E366" s="11">
        <f t="shared" si="321"/>
        <v>1</v>
      </c>
      <c r="F366" s="11" t="s">
        <v>4</v>
      </c>
      <c r="G366" s="11">
        <v>211</v>
      </c>
      <c r="H366" s="11" t="s">
        <v>7</v>
      </c>
      <c r="I366" s="13">
        <v>1200</v>
      </c>
      <c r="J366" s="14" t="s">
        <v>10</v>
      </c>
      <c r="K366" s="14" t="s">
        <v>16</v>
      </c>
      <c r="L366" s="15" t="s">
        <v>40</v>
      </c>
    </row>
    <row r="367" spans="1:12" ht="18.5" x14ac:dyDescent="0.45">
      <c r="A367" s="16" t="s">
        <v>409</v>
      </c>
      <c r="B367" s="17" t="s">
        <v>39</v>
      </c>
      <c r="C367" s="18">
        <v>44562</v>
      </c>
      <c r="D367" s="18">
        <f t="shared" ref="D367" si="366">C367+2</f>
        <v>44564</v>
      </c>
      <c r="E367" s="17">
        <f t="shared" si="321"/>
        <v>2</v>
      </c>
      <c r="F367" s="17" t="s">
        <v>5</v>
      </c>
      <c r="G367" s="17">
        <v>400</v>
      </c>
      <c r="H367" s="17" t="s">
        <v>8</v>
      </c>
      <c r="I367" s="19">
        <v>1500</v>
      </c>
      <c r="J367" s="20" t="s">
        <v>10</v>
      </c>
      <c r="K367" s="20" t="s">
        <v>17</v>
      </c>
      <c r="L367" s="21" t="s">
        <v>43</v>
      </c>
    </row>
  </sheetData>
  <conditionalFormatting sqref="A1 C1:E1">
    <cfRule type="duplicateValues" dxfId="0" priority="1"/>
  </conditionalFormatting>
  <dataValidations count="2">
    <dataValidation type="whole" allowBlank="1" showInputMessage="1" showErrorMessage="1" sqref="G20 G22 G24 G26 G28 G30 G32 G34 G36 G38 G40 G42 G44 G46 G48 G50 G52 G54 G56 G58 G60 G62 G64 G66 G68 G70 G72 G74 G76 G78 G80 G82 G84 G86 G88 G90 G92 G94 G96 G98 G100 G102 G104 G106 G108 G110 G112 G114 G116 G118 G120 G122 G124 G126 G128 G130 G132 G134 G136 G138 G140 G142 G144 G146 G148 G150 G152 G154 G156 G158 G160 G162 G164 G166 G168 G170 G172 G174 G176 G178 G180 G182 G184 G186 G188 G190 G192 G194 G196 G198 G200 G202 G204 G206 G208 G210 G212 G214 G216 G218 G220 G222 G224 G226 G228 G230 G232 G234 G236 G238 G240 G242 G244 G246 G248 G250 G252 G254 G256 G258" xr:uid="{A7226BA3-4DA4-4843-9ED4-AAAA5922F090}">
      <formula1>105</formula1>
      <formula2>400</formula2>
    </dataValidation>
    <dataValidation type="whole" allowBlank="1" showInputMessage="1" showErrorMessage="1" sqref="G11 G21 G257 G23 G25 G27 G29 G31 G33 G35 G37 G39 G41 G43 G45 G47 G49 G51 G53 G55 G57 G59 G61 G63 G65 G67 G69 G71 G73 G75 G77 G79 G81 G83 G85 G87 G89 G91 G93 G95 G97 G99 G101 G103 G105 G107 G109 G111 G113 G115 G117 G119 G121 G123 G125 G127 G129 G131 G133 G135 G137 G139 G141 G143 G145 G147 G149 G151 G153 G155 G157 G159 G161 G163 G165 G167 G169 G171 G173 G175 G177 G179 G181 G183 G185 G187 G189 G191 G193 G195 G197 G199 G201 G203 G205 G207 G209 G211 G213 G215 G217 G219 G221 G223 G225 G227 G229 G231 G233 G235 G237 G239 G241 G243 G245 G247 G249 G251 G253 G255 G259:G367" xr:uid="{B6222BA2-6D46-4CD7-B1BF-190D5D88A78C}">
      <formula1>G11</formula1>
      <formula2>G367</formula2>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 kumar</dc:creator>
  <cp:lastModifiedBy>harshit kumar</cp:lastModifiedBy>
  <dcterms:created xsi:type="dcterms:W3CDTF">2025-04-20T16:04:32Z</dcterms:created>
  <dcterms:modified xsi:type="dcterms:W3CDTF">2025-12-10T06:23:50Z</dcterms:modified>
</cp:coreProperties>
</file>